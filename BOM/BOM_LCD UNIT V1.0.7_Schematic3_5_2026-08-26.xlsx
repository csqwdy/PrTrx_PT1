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460"/>
  </bookViews>
  <sheets>
    <sheet name="bom模板" sheetId="1" r:id="rId1"/>
    <sheet name="Field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<sst xmlns="http://schemas.openxmlformats.org/spreadsheetml/2006/main" count="110" uniqueCount="80">
  <si>
    <t/>
  </si>
  <si>
    <t xml:space="preserve">Bill of Materials </t>
  </si>
  <si>
    <t>BOM_LCD UNIT V1.0.7_Schematic3_5_2026-08-26</t>
  </si>
  <si>
    <t>Project Title：</t>
  </si>
  <si>
    <t>PrTrx_开源</t>
  </si>
  <si>
    <t>Variant:</t>
  </si>
  <si>
    <t xml:space="preserve"> </t>
  </si>
  <si>
    <t>Report Time：</t>
  </si>
  <si>
    <t>2026年8月26日 19:46:35</t>
  </si>
  <si>
    <t>No.</t>
  </si>
  <si>
    <t>Quantity</t>
  </si>
  <si>
    <t>Comment</t>
  </si>
  <si>
    <t>Designator</t>
  </si>
  <si>
    <t>Footprint</t>
  </si>
  <si>
    <t>Value</t>
  </si>
  <si>
    <t>Manufacturer</t>
  </si>
  <si>
    <t>备注</t>
  </si>
  <si>
    <t>100nF</t>
  </si>
  <si>
    <t>C1, C3, C5, C6</t>
  </si>
  <si>
    <t>C0603</t>
  </si>
  <si>
    <t>50V/±5%/X7R or NP0 C0G</t>
  </si>
  <si>
    <t>22uF</t>
  </si>
  <si>
    <t>C2, C4</t>
  </si>
  <si>
    <t>MIN: 10V</t>
  </si>
  <si>
    <t>10uF</t>
  </si>
  <si>
    <t>C7</t>
  </si>
  <si>
    <t>10nF</t>
  </si>
  <si>
    <t>C8, C9, C10</t>
  </si>
  <si>
    <t>100uF</t>
  </si>
  <si>
    <t>C46</t>
  </si>
  <si>
    <t>CAP-SMD_BD5.0-L4.5</t>
  </si>
  <si>
    <t>1N4148WS</t>
  </si>
  <si>
    <t>D1</t>
  </si>
  <si>
    <t>SOD-323_L1.7-W1.3-LS2.7-RD</t>
  </si>
  <si>
    <t>FPC0521-22PH20</t>
  </si>
  <si>
    <t>FPC1</t>
  </si>
  <si>
    <t>FPC-SMD_FPC0521-22PH20</t>
  </si>
  <si>
    <t>10R</t>
  </si>
  <si>
    <t>R1</t>
  </si>
  <si>
    <t>R0805</t>
  </si>
  <si>
    <t>5R1</t>
  </si>
  <si>
    <t>R2</t>
  </si>
  <si>
    <t>R0603</t>
  </si>
  <si>
    <t>10K</t>
  </si>
  <si>
    <t>R3</t>
  </si>
  <si>
    <t>10kΩ</t>
  </si>
  <si>
    <t>R4</t>
  </si>
  <si>
    <t>RES-ADJ-TH_RK09K1130AJ3</t>
  </si>
  <si>
    <t>ALPSALPINE(阿尔卑斯阿尔派)</t>
  </si>
  <si>
    <t>10k</t>
  </si>
  <si>
    <t>R5</t>
  </si>
  <si>
    <t>EC11</t>
  </si>
  <si>
    <t>SW1</t>
  </si>
  <si>
    <t>30定位15脉冲</t>
  </si>
  <si>
    <t>12x12x7.3</t>
  </si>
  <si>
    <t>SW2, SW3</t>
  </si>
  <si>
    <t>SW-TH_4P-L12.0-W12.0-P5.00-LS12.5</t>
  </si>
  <si>
    <t>6206P33</t>
  </si>
  <si>
    <t>U1</t>
  </si>
  <si>
    <t>SOT-89-3_L4.5-W2.4-P1.50-LS4.0-BR</t>
  </si>
  <si>
    <t>PM1.27-1x8P</t>
  </si>
  <si>
    <t>U2, U3</t>
  </si>
  <si>
    <t>HDR-TH_8P-P1.27-V-F-2</t>
  </si>
  <si>
    <t>Project Title</t>
  </si>
  <si>
    <t>Borard Title</t>
  </si>
  <si>
    <t>LCD UNIT V1.0.7</t>
  </si>
  <si>
    <t>Schematic Title</t>
  </si>
  <si>
    <t>Schematic3_5</t>
  </si>
  <si>
    <t>PCB Title</t>
  </si>
  <si>
    <t>LCD_1.2mm_1.0.7</t>
  </si>
  <si>
    <t>Variant Name</t>
  </si>
  <si>
    <t>Total Quantity</t>
  </si>
  <si>
    <t>Report Time</t>
  </si>
  <si>
    <t>19:46:35</t>
  </si>
  <si>
    <t>Report Date</t>
  </si>
  <si>
    <t>2026年8月26日</t>
  </si>
  <si>
    <t>Report Date&amp;Time</t>
  </si>
  <si>
    <t>File Name</t>
  </si>
  <si>
    <t>Filter Option</t>
  </si>
  <si>
    <t xml:space="preserve">Add into BOM:no; Convert to PCB:no;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</si>
</sst>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\¥\-#,##0.00"/>
  </numFmts>
  <fonts count="23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Border="1"/>
    <xf numFmtId="0" fontId="0" fillId="0" borderId="0" xfId="0" applyNumberFormat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/>
    <xf numFmtId="176" fontId="1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2" xfId="0" applyNumberFormat="1" applyFont="1" applyBorder="1"/>
    <xf numFmtId="0" fontId="2" fillId="0" borderId="0" xfId="0" applyFont="1"/>
    <xf numFmtId="0" fontId="1" fillId="0" borderId="3" xfId="0" applyNumberFormat="1" applyFont="1" applyBorder="1"/>
    <xf numFmtId="0" fontId="1" fillId="2" borderId="1" xfId="0" applyNumberFormat="1" applyFont="1" applyFill="1" applyBorder="1"/>
    <xf numFmtId="0" fontId="1" fillId="3" borderId="1" xfId="0" applyNumberFormat="1" applyFont="1" applyFill="1" applyBorder="1"/>
    <xf numFmtId="9" fontId="1" fillId="3" borderId="1" xfId="0" applyNumberFormat="1" applyFont="1" applyFill="1" applyBorder="1"/>
    <xf numFmtId="0" fontId="1" fillId="0" borderId="1" xfId="0" applyNumberFormat="1" applyFont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4</xdr:col>
      <xdr:colOff>0</xdr:colOff>
      <xdr:row>4</xdr:row>
      <xdr:rowOff>105091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7485" y="139065"/>
          <a:ext cx="4202430" cy="6896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showGridLines="0" tabSelected="1" zoomScale="115" zoomScaleNormal="115" workbookViewId="0">
      <selection activeCell="L9" sqref="L9"/>
    </sheetView>
  </sheetViews>
  <sheetFormatPr defaultColWidth="9" defaultRowHeight="14.25" customHeight="1" outlineLevelCol="7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6.875" customWidth="1"/>
    <col min="8" max="8" width="23.5480769230769" style="2" customWidth="1"/>
  </cols>
  <sheetData>
    <row r="1" customHeight="1" spans="1:8">
      <c r="A1" s="3" t="s">
        <v>0</v>
      </c>
      <c r="B1" s="3"/>
      <c r="C1" s="3"/>
      <c r="D1" s="3"/>
      <c r="E1" s="8" t="s">
        <v>1</v>
      </c>
      <c r="F1" s="8" t="s">
        <v>2</v>
      </c>
      <c r="G1" t="s">
        <v>0</v>
      </c>
      <c r="H1" s="9" t="s">
        <v>0</v>
      </c>
    </row>
    <row r="2" customHeight="1" spans="1:8">
      <c r="A2" s="3"/>
      <c r="B2" s="3"/>
      <c r="C2" s="3"/>
      <c r="D2" s="3"/>
      <c r="E2" s="8"/>
      <c r="F2" s="8"/>
      <c r="G2" t="s">
        <v>0</v>
      </c>
      <c r="H2" s="9" t="s">
        <v>0</v>
      </c>
    </row>
    <row r="3" customHeight="1" spans="1:8">
      <c r="A3" s="3"/>
      <c r="B3" s="3"/>
      <c r="C3" s="3"/>
      <c r="D3" s="3"/>
      <c r="E3" s="10" t="s">
        <v>3</v>
      </c>
      <c r="F3" t="s">
        <v>4</v>
      </c>
      <c r="G3" t="s">
        <v>0</v>
      </c>
      <c r="H3" s="9" t="s">
        <v>0</v>
      </c>
    </row>
    <row r="4" customHeight="1" spans="1:8">
      <c r="A4" s="3"/>
      <c r="B4" s="3"/>
      <c r="C4" s="3"/>
      <c r="D4" s="3"/>
      <c r="E4" s="10" t="s">
        <v>5</v>
      </c>
      <c r="F4" t="s">
        <v>6</v>
      </c>
      <c r="G4" t="s">
        <v>0</v>
      </c>
      <c r="H4" s="9" t="s">
        <v>0</v>
      </c>
    </row>
    <row r="5" customHeight="1" spans="1:8">
      <c r="A5" s="3"/>
      <c r="B5" s="3"/>
      <c r="C5" s="3"/>
      <c r="D5" s="3"/>
      <c r="E5" s="10" t="s">
        <v>7</v>
      </c>
      <c r="F5" t="s">
        <v>8</v>
      </c>
      <c r="G5" t="s">
        <v>0</v>
      </c>
      <c r="H5" s="11" t="s">
        <v>0</v>
      </c>
    </row>
    <row r="6" customHeight="1" spans="1:8">
      <c r="A6" s="1" t="s">
        <v>9</v>
      </c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12" t="s">
        <v>16</v>
      </c>
    </row>
    <row r="7" customHeight="1" spans="1:8">
      <c r="A7" s="5">
        <f t="shared" ref="A7:A23" si="0">ROW()-6</f>
        <v>1</v>
      </c>
      <c r="B7" s="6">
        <v>4</v>
      </c>
      <c r="C7" s="6" t="s">
        <v>17</v>
      </c>
      <c r="D7" s="6" t="s">
        <v>18</v>
      </c>
      <c r="E7" s="6" t="s">
        <v>19</v>
      </c>
      <c r="F7" s="6"/>
      <c r="G7" s="6" t="s">
        <v>0</v>
      </c>
      <c r="H7" s="13" t="s">
        <v>20</v>
      </c>
    </row>
    <row r="8" customHeight="1" spans="1:8">
      <c r="A8" s="5">
        <f t="shared" si="0"/>
        <v>2</v>
      </c>
      <c r="B8" s="6">
        <v>2</v>
      </c>
      <c r="C8" s="6" t="s">
        <v>21</v>
      </c>
      <c r="D8" s="6" t="s">
        <v>22</v>
      </c>
      <c r="E8" s="6" t="s">
        <v>19</v>
      </c>
      <c r="F8" s="6"/>
      <c r="G8" s="6" t="s">
        <v>0</v>
      </c>
      <c r="H8" s="13" t="s">
        <v>23</v>
      </c>
    </row>
    <row r="9" customHeight="1" spans="1:8">
      <c r="A9" s="5">
        <f t="shared" si="0"/>
        <v>3</v>
      </c>
      <c r="B9" s="6">
        <v>1</v>
      </c>
      <c r="C9" s="6" t="s">
        <v>24</v>
      </c>
      <c r="D9" s="6" t="s">
        <v>25</v>
      </c>
      <c r="E9" s="6" t="s">
        <v>19</v>
      </c>
      <c r="F9" s="6"/>
      <c r="G9" s="6" t="s">
        <v>0</v>
      </c>
      <c r="H9" s="13" t="s">
        <v>23</v>
      </c>
    </row>
    <row r="10" customHeight="1" spans="1:8">
      <c r="A10" s="5">
        <f t="shared" si="0"/>
        <v>4</v>
      </c>
      <c r="B10" s="6">
        <v>3</v>
      </c>
      <c r="C10" s="6" t="s">
        <v>26</v>
      </c>
      <c r="D10" s="6" t="s">
        <v>27</v>
      </c>
      <c r="E10" s="6" t="s">
        <v>19</v>
      </c>
      <c r="F10" s="6"/>
      <c r="G10" s="6" t="s">
        <v>0</v>
      </c>
      <c r="H10" s="13" t="s">
        <v>20</v>
      </c>
    </row>
    <row r="11" customHeight="1" spans="1:8">
      <c r="A11" s="5">
        <f t="shared" si="0"/>
        <v>5</v>
      </c>
      <c r="B11" s="6">
        <v>1</v>
      </c>
      <c r="C11" s="6" t="s">
        <v>28</v>
      </c>
      <c r="D11" s="6" t="s">
        <v>29</v>
      </c>
      <c r="E11" s="6" t="s">
        <v>30</v>
      </c>
      <c r="F11" s="6"/>
      <c r="G11" s="6"/>
      <c r="H11" s="13" t="s">
        <v>23</v>
      </c>
    </row>
    <row r="12" customHeight="1" spans="1:8">
      <c r="A12" s="5">
        <f t="shared" si="0"/>
        <v>6</v>
      </c>
      <c r="B12" s="6">
        <v>1</v>
      </c>
      <c r="C12" s="6" t="s">
        <v>31</v>
      </c>
      <c r="D12" s="6" t="s">
        <v>32</v>
      </c>
      <c r="E12" s="6" t="s">
        <v>33</v>
      </c>
      <c r="F12" s="6"/>
      <c r="G12" s="6"/>
      <c r="H12" s="13"/>
    </row>
    <row r="13" customHeight="1" spans="1:8">
      <c r="A13" s="5">
        <f t="shared" si="0"/>
        <v>7</v>
      </c>
      <c r="B13" s="6">
        <v>1</v>
      </c>
      <c r="C13" s="6" t="s">
        <v>34</v>
      </c>
      <c r="D13" s="6" t="s">
        <v>35</v>
      </c>
      <c r="E13" s="6" t="s">
        <v>36</v>
      </c>
      <c r="F13" s="6"/>
      <c r="G13" s="6"/>
      <c r="H13" s="13"/>
    </row>
    <row r="14" customHeight="1" spans="1:8">
      <c r="A14" s="5">
        <f t="shared" si="0"/>
        <v>8</v>
      </c>
      <c r="B14" s="6">
        <v>1</v>
      </c>
      <c r="C14" s="6" t="s">
        <v>37</v>
      </c>
      <c r="D14" s="6" t="s">
        <v>38</v>
      </c>
      <c r="E14" s="6" t="s">
        <v>39</v>
      </c>
      <c r="F14" s="6"/>
      <c r="G14" s="6" t="s">
        <v>0</v>
      </c>
      <c r="H14" s="14">
        <v>0.01</v>
      </c>
    </row>
    <row r="15" customHeight="1" spans="1:8">
      <c r="A15" s="5">
        <f t="shared" si="0"/>
        <v>9</v>
      </c>
      <c r="B15" s="6">
        <v>1</v>
      </c>
      <c r="C15" s="6" t="s">
        <v>40</v>
      </c>
      <c r="D15" s="6" t="s">
        <v>41</v>
      </c>
      <c r="E15" s="6" t="s">
        <v>42</v>
      </c>
      <c r="F15" s="6"/>
      <c r="G15" s="6" t="s">
        <v>0</v>
      </c>
      <c r="H15" s="14">
        <v>0.01</v>
      </c>
    </row>
    <row r="16" customHeight="1" spans="1:8">
      <c r="A16" s="5">
        <f t="shared" si="0"/>
        <v>10</v>
      </c>
      <c r="B16" s="6">
        <v>1</v>
      </c>
      <c r="C16" s="6" t="s">
        <v>43</v>
      </c>
      <c r="D16" s="6" t="s">
        <v>44</v>
      </c>
      <c r="E16" s="6" t="s">
        <v>42</v>
      </c>
      <c r="F16" s="6"/>
      <c r="G16" s="6" t="s">
        <v>0</v>
      </c>
      <c r="H16" s="14">
        <v>0.01</v>
      </c>
    </row>
    <row r="17" customHeight="1" spans="1:8">
      <c r="A17" s="5">
        <f t="shared" si="0"/>
        <v>11</v>
      </c>
      <c r="B17" s="6">
        <v>1</v>
      </c>
      <c r="C17" s="6" t="s">
        <v>45</v>
      </c>
      <c r="D17" s="6" t="s">
        <v>46</v>
      </c>
      <c r="E17" s="6" t="s">
        <v>47</v>
      </c>
      <c r="F17" s="6"/>
      <c r="G17" s="6" t="s">
        <v>48</v>
      </c>
      <c r="H17" s="13"/>
    </row>
    <row r="18" customHeight="1" spans="1:8">
      <c r="A18" s="5">
        <f t="shared" si="0"/>
        <v>12</v>
      </c>
      <c r="B18" s="6">
        <v>1</v>
      </c>
      <c r="C18" s="6" t="s">
        <v>49</v>
      </c>
      <c r="D18" s="6" t="s">
        <v>50</v>
      </c>
      <c r="E18" s="6" t="s">
        <v>42</v>
      </c>
      <c r="F18" s="6"/>
      <c r="G18" s="6" t="s">
        <v>0</v>
      </c>
      <c r="H18" s="14">
        <v>0.01</v>
      </c>
    </row>
    <row r="19" customHeight="1" spans="1:8">
      <c r="A19" s="5">
        <f t="shared" si="0"/>
        <v>13</v>
      </c>
      <c r="B19" s="6">
        <v>1</v>
      </c>
      <c r="C19" s="6" t="s">
        <v>51</v>
      </c>
      <c r="D19" s="6" t="s">
        <v>52</v>
      </c>
      <c r="E19" s="6"/>
      <c r="F19" s="6"/>
      <c r="G19" s="6"/>
      <c r="H19" s="13" t="s">
        <v>53</v>
      </c>
    </row>
    <row r="20" customHeight="1" spans="1:8">
      <c r="A20" s="5">
        <f t="shared" si="0"/>
        <v>14</v>
      </c>
      <c r="B20" s="6">
        <v>2</v>
      </c>
      <c r="C20" s="6" t="s">
        <v>54</v>
      </c>
      <c r="D20" s="6" t="s">
        <v>55</v>
      </c>
      <c r="E20" s="6" t="s">
        <v>56</v>
      </c>
      <c r="F20" s="6"/>
      <c r="G20" s="6"/>
      <c r="H20" s="13"/>
    </row>
    <row r="21" customHeight="1" spans="1:8">
      <c r="A21" s="5">
        <f t="shared" si="0"/>
        <v>15</v>
      </c>
      <c r="B21" s="6">
        <v>1</v>
      </c>
      <c r="C21" s="6" t="s">
        <v>57</v>
      </c>
      <c r="D21" s="6" t="s">
        <v>58</v>
      </c>
      <c r="E21" s="6" t="s">
        <v>59</v>
      </c>
      <c r="F21" s="6"/>
      <c r="G21" s="6"/>
      <c r="H21" s="13"/>
    </row>
    <row r="22" customHeight="1" spans="1:8">
      <c r="A22" s="5">
        <f t="shared" si="0"/>
        <v>16</v>
      </c>
      <c r="B22" s="6">
        <v>2</v>
      </c>
      <c r="C22" s="6" t="s">
        <v>60</v>
      </c>
      <c r="D22" s="6" t="s">
        <v>61</v>
      </c>
      <c r="E22" s="6" t="s">
        <v>62</v>
      </c>
      <c r="F22" s="6"/>
      <c r="G22" s="6"/>
      <c r="H22" s="13"/>
    </row>
    <row r="23" customHeight="1" spans="1:8">
      <c r="A23" s="5">
        <f t="shared" si="0"/>
        <v>17</v>
      </c>
      <c r="B23" s="7"/>
      <c r="C23" s="7"/>
      <c r="D23" s="7"/>
      <c r="E23" s="7"/>
      <c r="F23" s="7"/>
      <c r="G23" s="7"/>
      <c r="H23" s="15"/>
    </row>
  </sheetData>
  <mergeCells count="4">
    <mergeCell ref="B23:H23"/>
    <mergeCell ref="E1:E2"/>
    <mergeCell ref="F1:F2"/>
    <mergeCell ref="A1:D5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zoomScale="220" zoomScaleNormal="220" workbookViewId="0">
      <selection activeCell="B14" sqref="B14"/>
    </sheetView>
  </sheetViews>
  <sheetFormatPr defaultColWidth="9" defaultRowHeight="14.25" customHeight="1" outlineLevelCol="1"/>
  <cols>
    <col min="1" max="1" width="23.625" customWidth="1"/>
    <col min="2" max="2" width="57.5" customWidth="1"/>
  </cols>
  <sheetData>
    <row r="1" customHeight="1" spans="1:2">
      <c r="A1" s="1" t="s">
        <v>63</v>
      </c>
      <c r="B1" s="1" t="s">
        <v>4</v>
      </c>
    </row>
    <row r="2" customHeight="1" spans="1:2">
      <c r="A2" s="1" t="s">
        <v>64</v>
      </c>
      <c r="B2" s="1" t="s">
        <v>65</v>
      </c>
    </row>
    <row r="3" customHeight="1" spans="1:2">
      <c r="A3" s="1" t="s">
        <v>66</v>
      </c>
      <c r="B3" s="1" t="s">
        <v>67</v>
      </c>
    </row>
    <row r="4" customHeight="1" spans="1:2">
      <c r="A4" s="1" t="s">
        <v>68</v>
      </c>
      <c r="B4" s="1" t="s">
        <v>69</v>
      </c>
    </row>
    <row r="5" customHeight="1" spans="1:2">
      <c r="A5" s="1" t="s">
        <v>70</v>
      </c>
      <c r="B5" s="1" t="s">
        <v>6</v>
      </c>
    </row>
    <row r="6" customHeight="1" spans="1:2">
      <c r="A6" s="1" t="s">
        <v>71</v>
      </c>
      <c r="B6" s="1">
        <v>25</v>
      </c>
    </row>
    <row r="7" customHeight="1" spans="1:2">
      <c r="A7" s="1" t="s">
        <v>72</v>
      </c>
      <c r="B7" s="1" t="s">
        <v>73</v>
      </c>
    </row>
    <row r="8" customHeight="1" spans="1:2">
      <c r="A8" s="1" t="s">
        <v>74</v>
      </c>
      <c r="B8" s="1" t="s">
        <v>75</v>
      </c>
    </row>
    <row r="9" customHeight="1" spans="1:2">
      <c r="A9" s="1" t="s">
        <v>76</v>
      </c>
      <c r="B9" s="1" t="s">
        <v>8</v>
      </c>
    </row>
    <row r="10" customHeight="1" spans="1:2">
      <c r="A10" s="1" t="s">
        <v>77</v>
      </c>
      <c r="B10" s="1" t="s">
        <v>2</v>
      </c>
    </row>
    <row r="11" customHeight="1" spans="1:2">
      <c r="A11" s="1" t="s">
        <v>78</v>
      </c>
      <c r="B11" s="1" t="s">
        <v>79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老王音响-王银16650168790</cp:lastModifiedBy>
  <dcterms:created xsi:type="dcterms:W3CDTF">2024-08-02T10:42:00Z</dcterms:created>
  <dcterms:modified xsi:type="dcterms:W3CDTF">2026-08-26T21:01:52Z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CDEB33F3ABBA6A81C0E38E6A2FF019DA_42</vt:lpwstr>
  </property>
</Properties>
</file>