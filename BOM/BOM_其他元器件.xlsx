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80" windowHeight="7840"/>
  </bookViews>
  <sheets>
    <sheet name="bom模板" sheetId="1" r:id="rId1"/>
    <sheet name="Field汇总" sheetId="2" r:id="rId2"/>
  </sheets>
  <calcPr calcId="144525"/>
</workbook>
</file>

<file path=xl/sharedStrings.xml><?xml version="1.0" encoding="utf-8"?>
<sst xmlns="http://schemas.openxmlformats.org/spreadsheetml/2006/main" count="83">
  <si>
    <t/>
  </si>
  <si>
    <t xml:space="preserve">Bill of Materials </t>
  </si>
  <si>
    <t>BOM_LCD UNIT V1.0.7_Schematic3_5_2026-08-26</t>
  </si>
  <si>
    <t>Project Title：</t>
  </si>
  <si>
    <t>PrTrx_开源</t>
  </si>
  <si>
    <t>Variant:</t>
  </si>
  <si>
    <t xml:space="preserve"> </t>
  </si>
  <si>
    <t>Report Time：</t>
  </si>
  <si>
    <t>2026年8月26日 19:46:35</t>
  </si>
  <si>
    <t>No.</t>
  </si>
  <si>
    <t>Quantity</t>
  </si>
  <si>
    <t>Comment</t>
  </si>
  <si>
    <t>Designator</t>
  </si>
  <si>
    <t>Footprint</t>
  </si>
  <si>
    <t>Value</t>
  </si>
  <si>
    <t>Manufacturer</t>
  </si>
  <si>
    <t>备注</t>
  </si>
  <si>
    <t>2.0寸ST7789显示屏</t>
  </si>
  <si>
    <t>22p正面插脚</t>
  </si>
  <si>
    <t>BGR</t>
  </si>
  <si>
    <t>28mm喇叭</t>
  </si>
  <si>
    <t>8欧姆2w</t>
  </si>
  <si>
    <t>FPC排线</t>
  </si>
  <si>
    <t>20p反向</t>
  </si>
  <si>
    <t>5cm</t>
  </si>
  <si>
    <t>保险丝</t>
  </si>
  <si>
    <t>3A快断型</t>
  </si>
  <si>
    <t>Littelfuse(美国力特)</t>
  </si>
  <si>
    <t>300cm</t>
  </si>
  <si>
    <t>漆包线</t>
  </si>
  <si>
    <t>0.45mm</t>
  </si>
  <si>
    <t>特富龙镀银线</t>
  </si>
  <si>
    <t>0.75mm</t>
  </si>
  <si>
    <t>单头焊片</t>
  </si>
  <si>
    <t>孔径3.2mm</t>
  </si>
  <si>
    <t>外壳+TPU护套</t>
  </si>
  <si>
    <t>K61</t>
  </si>
  <si>
    <t>100mm</t>
  </si>
  <si>
    <t>嘉立创</t>
  </si>
  <si>
    <t>旋钮</t>
  </si>
  <si>
    <t>12.5*10mm</t>
  </si>
  <si>
    <t>按键帽</t>
  </si>
  <si>
    <t>10*10mm</t>
  </si>
  <si>
    <t>长短脚</t>
  </si>
  <si>
    <t>带胶塑料垫片</t>
  </si>
  <si>
    <t>8mm*0.5mm</t>
  </si>
  <si>
    <t>喇叭防尘网</t>
  </si>
  <si>
    <t>双通滚花螺柱</t>
  </si>
  <si>
    <t>M2</t>
  </si>
  <si>
    <t>8mm</t>
  </si>
  <si>
    <t>50+50</t>
  </si>
  <si>
    <t>6mm</t>
  </si>
  <si>
    <t>单通滚花螺柱</t>
  </si>
  <si>
    <t>5mm</t>
  </si>
  <si>
    <t>沉头螺丝</t>
  </si>
  <si>
    <t>4mm</t>
  </si>
  <si>
    <t>150+5mmd 100</t>
  </si>
  <si>
    <t>半圆头螺丝</t>
  </si>
  <si>
    <t>M3</t>
  </si>
  <si>
    <t>螺母</t>
  </si>
  <si>
    <t>导热垫</t>
  </si>
  <si>
    <t>1cm*1cm</t>
  </si>
  <si>
    <t>5mm厚度</t>
  </si>
  <si>
    <t>散热片</t>
  </si>
  <si>
    <t>100*45*2.9mm</t>
  </si>
  <si>
    <t>带背胶</t>
  </si>
  <si>
    <t>Project Title</t>
  </si>
  <si>
    <t>Borard Title</t>
  </si>
  <si>
    <t>LCD UNIT V1.0.7</t>
  </si>
  <si>
    <t>Schematic Title</t>
  </si>
  <si>
    <t>Schematic3_5</t>
  </si>
  <si>
    <t>PCB Title</t>
  </si>
  <si>
    <t>LCD_1.2mm_1.0.7</t>
  </si>
  <si>
    <t>Variant Name</t>
  </si>
  <si>
    <t>Total Quantity</t>
  </si>
  <si>
    <t>Report Time</t>
  </si>
  <si>
    <t>19:46:35</t>
  </si>
  <si>
    <t>Report Date</t>
  </si>
  <si>
    <t>2026年8月26日</t>
  </si>
  <si>
    <t>Report Date&amp;Time</t>
  </si>
  <si>
    <t>File Name</t>
  </si>
  <si>
    <t>Filter Option</t>
  </si>
  <si>
    <t xml:space="preserve">Add into BOM:no; Convert to PCB:no;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</si>
</sst>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\¥#,##0.00;\¥\-#,##0.00"/>
  </numFmts>
  <fonts count="21">
    <font>
      <sz val="11"/>
      <color indexed="8"/>
      <name val="宋体"/>
      <charset val="134"/>
    </font>
    <font>
      <sz val="11"/>
      <color indexed="9"/>
      <name val="宋体"/>
      <charset val="0"/>
    </font>
    <font>
      <b/>
      <sz val="11"/>
      <color indexed="62"/>
      <name val="宋体"/>
      <charset val="134"/>
    </font>
    <font>
      <u/>
      <sz val="11"/>
      <color indexed="12"/>
      <name val="宋体"/>
      <charset val="0"/>
    </font>
    <font>
      <sz val="11"/>
      <color indexed="8"/>
      <name val="宋体"/>
      <charset val="0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sz val="11"/>
      <color indexed="10"/>
      <name val="宋体"/>
      <charset val="0"/>
    </font>
    <font>
      <u/>
      <sz val="11"/>
      <color indexed="20"/>
      <name val="宋体"/>
      <charset val="0"/>
    </font>
    <font>
      <b/>
      <sz val="13"/>
      <color indexed="62"/>
      <name val="宋体"/>
      <charset val="134"/>
    </font>
    <font>
      <i/>
      <sz val="11"/>
      <color indexed="23"/>
      <name val="宋体"/>
      <charset val="0"/>
    </font>
    <font>
      <sz val="11"/>
      <color indexed="17"/>
      <name val="宋体"/>
      <charset val="0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sz val="11"/>
      <color indexed="52"/>
      <name val="宋体"/>
      <charset val="0"/>
    </font>
    <font>
      <b/>
      <sz val="11"/>
      <color indexed="52"/>
      <name val="宋体"/>
      <charset val="0"/>
    </font>
    <font>
      <b/>
      <sz val="11"/>
      <color indexed="8"/>
      <name val="宋体"/>
      <charset val="0"/>
    </font>
    <font>
      <b/>
      <sz val="11"/>
      <color indexed="9"/>
      <name val="宋体"/>
      <charset val="0"/>
    </font>
    <font>
      <sz val="11"/>
      <color indexed="60"/>
      <name val="宋体"/>
      <charset val="0"/>
    </font>
    <font>
      <sz val="11"/>
      <color indexed="8"/>
      <name val="等线"/>
      <charset val="134"/>
    </font>
    <font>
      <b/>
      <sz val="11"/>
      <color indexed="8"/>
      <name val="等线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9">
    <xf numFmtId="0" fontId="0" fillId="0" borderId="0" xfId="0" applyAlignment="1"/>
    <xf numFmtId="0" fontId="19" fillId="0" borderId="1" xfId="0" applyFont="1" applyBorder="1" applyAlignme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/>
    <xf numFmtId="0" fontId="19" fillId="2" borderId="1" xfId="0" applyFont="1" applyFill="1" applyBorder="1" applyAlignment="1"/>
    <xf numFmtId="0" fontId="19" fillId="0" borderId="1" xfId="0" applyFont="1" applyBorder="1" applyAlignment="1">
      <alignment horizontal="left" vertical="center"/>
    </xf>
    <xf numFmtId="0" fontId="19" fillId="3" borderId="1" xfId="0" applyFont="1" applyFill="1" applyBorder="1" applyAlignment="1"/>
    <xf numFmtId="176" fontId="19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千位分隔[0]" xfId="3" builtinId="6"/>
    <cellStyle name="强调文字颜色 4" xfId="4"/>
    <cellStyle name="百分比" xfId="5" builtinId="5"/>
    <cellStyle name="货币[0]" xfId="6" builtinId="7"/>
    <cellStyle name="标题" xfId="7"/>
    <cellStyle name="超链接" xfId="8" builtinId="8"/>
    <cellStyle name="注释" xfId="9"/>
    <cellStyle name="已访问的超链接" xfId="10" builtinId="9"/>
    <cellStyle name="警告文本" xfId="11"/>
    <cellStyle name="标题 4" xfId="12"/>
    <cellStyle name="60% - 强调文字颜色 2" xfId="13"/>
    <cellStyle name="解释性文本" xfId="14"/>
    <cellStyle name="标题 1" xfId="15"/>
    <cellStyle name="标题 2" xfId="16"/>
    <cellStyle name="标题 3" xfId="17"/>
    <cellStyle name="60% - 强调文字颜色 1" xfId="18"/>
    <cellStyle name="输入" xfId="19"/>
    <cellStyle name="20% - 强调文字颜色 3" xfId="20"/>
    <cellStyle name="输出" xfId="21"/>
    <cellStyle name="60% - 强调文字颜色 4" xfId="22"/>
    <cellStyle name="计算" xfId="23"/>
    <cellStyle name="检查单元格" xfId="24"/>
    <cellStyle name="链接单元格" xfId="25"/>
    <cellStyle name="强调文字颜色 2" xfId="26"/>
    <cellStyle name="20% - 强调文字颜色 6" xfId="27"/>
    <cellStyle name="汇总" xfId="28"/>
    <cellStyle name="好" xfId="29"/>
    <cellStyle name="差" xfId="30"/>
    <cellStyle name="40% - 强调文字颜色 3" xfId="31"/>
    <cellStyle name="适中" xfId="32"/>
    <cellStyle name="强调文字颜色 1" xfId="33"/>
    <cellStyle name="20% - 强调文字颜色 5" xfId="34"/>
    <cellStyle name="20% - 强调文字颜色 1" xfId="35"/>
    <cellStyle name="40% - 强调文字颜色 1" xfId="36"/>
    <cellStyle name="20% - 强调文字颜色 2" xfId="37"/>
    <cellStyle name="40% - 强调文字颜色 2" xfId="38"/>
    <cellStyle name="强调文字颜色 3" xfId="39"/>
    <cellStyle name="60% - 强调文字颜色 3" xfId="40"/>
    <cellStyle name="20% - 强调文字颜色 4" xfId="41"/>
    <cellStyle name="40% - 强调文字颜色 4" xfId="42"/>
    <cellStyle name="强调文字颜色 5" xfId="43"/>
    <cellStyle name="40% - 强调文字颜色 5" xfId="44"/>
    <cellStyle name="60% - 强调文字颜色 5" xfId="45"/>
    <cellStyle name="强调文字颜色 6" xfId="46"/>
    <cellStyle name="40% - 强调文字颜色 6" xfId="47"/>
    <cellStyle name="60% - 强调文字颜色 6" xfId="48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8"/>
  <sheetViews>
    <sheetView showGridLines="0" tabSelected="1" zoomScale="115" zoomScaleNormal="115" topLeftCell="A13" workbookViewId="0">
      <selection activeCell="A31" sqref="31:31"/>
    </sheetView>
  </sheetViews>
  <sheetFormatPr defaultColWidth="9" defaultRowHeight="14.25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6.875" customWidth="1"/>
    <col min="8" max="8" width="14.375" customWidth="1"/>
  </cols>
  <sheetData>
    <row r="1" customHeight="1" spans="1:8">
      <c r="A1" s="2" t="s">
        <v>0</v>
      </c>
      <c r="B1" s="2"/>
      <c r="C1" s="2"/>
      <c r="D1" s="2"/>
      <c r="E1" s="3" t="s">
        <v>1</v>
      </c>
      <c r="F1" s="3" t="s">
        <v>2</v>
      </c>
      <c r="G1" t="s">
        <v>0</v>
      </c>
      <c r="H1" t="s">
        <v>0</v>
      </c>
    </row>
    <row r="2" customHeight="1" spans="1:8">
      <c r="A2" s="2"/>
      <c r="B2" s="2"/>
      <c r="C2" s="2"/>
      <c r="D2" s="2"/>
      <c r="E2" s="3"/>
      <c r="F2" s="3"/>
      <c r="G2" t="s">
        <v>0</v>
      </c>
      <c r="H2" t="s">
        <v>0</v>
      </c>
    </row>
    <row r="3" customHeight="1" spans="1:8">
      <c r="A3" s="2"/>
      <c r="B3" s="2"/>
      <c r="C3" s="2"/>
      <c r="D3" s="2"/>
      <c r="E3" s="4" t="s">
        <v>3</v>
      </c>
      <c r="F3" t="s">
        <v>4</v>
      </c>
      <c r="G3" t="s">
        <v>0</v>
      </c>
      <c r="H3" t="s">
        <v>0</v>
      </c>
    </row>
    <row r="4" customHeight="1" spans="1:8">
      <c r="A4" s="2"/>
      <c r="B4" s="2"/>
      <c r="C4" s="2"/>
      <c r="D4" s="2"/>
      <c r="E4" s="4" t="s">
        <v>5</v>
      </c>
      <c r="F4" t="s">
        <v>6</v>
      </c>
      <c r="G4" t="s">
        <v>0</v>
      </c>
      <c r="H4" t="s">
        <v>0</v>
      </c>
    </row>
    <row r="5" customHeight="1" spans="1:8">
      <c r="A5" s="2"/>
      <c r="B5" s="2"/>
      <c r="C5" s="2"/>
      <c r="D5" s="2"/>
      <c r="E5" s="4" t="s">
        <v>7</v>
      </c>
      <c r="F5" t="s">
        <v>8</v>
      </c>
      <c r="G5" t="s">
        <v>0</v>
      </c>
      <c r="H5" t="s">
        <v>0</v>
      </c>
    </row>
    <row r="6" customHeight="1" spans="1:8">
      <c r="A6" s="1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</row>
    <row r="7" customHeight="1" spans="1:8">
      <c r="A7" s="6">
        <f>ROW()-6</f>
        <v>1</v>
      </c>
      <c r="B7" s="7">
        <v>1</v>
      </c>
      <c r="C7" s="7" t="s">
        <v>17</v>
      </c>
      <c r="D7" s="7"/>
      <c r="E7" s="7" t="s">
        <v>18</v>
      </c>
      <c r="F7" s="7"/>
      <c r="G7" s="7" t="s">
        <v>0</v>
      </c>
      <c r="H7" s="7" t="s">
        <v>19</v>
      </c>
    </row>
    <row r="8" customHeight="1" spans="1:8">
      <c r="A8" s="6">
        <f t="shared" ref="A8:A13" si="0">ROW()-6</f>
        <v>2</v>
      </c>
      <c r="B8" s="7">
        <v>1</v>
      </c>
      <c r="C8" s="7" t="s">
        <v>20</v>
      </c>
      <c r="D8" s="7"/>
      <c r="E8" s="7" t="s">
        <v>21</v>
      </c>
      <c r="F8" s="7"/>
      <c r="G8" s="7"/>
      <c r="H8" s="7"/>
    </row>
    <row r="9" customHeight="1" spans="1:8">
      <c r="A9" s="6">
        <f>ROW()-6</f>
        <v>3</v>
      </c>
      <c r="B9" s="7">
        <v>1</v>
      </c>
      <c r="C9" s="7" t="s">
        <v>22</v>
      </c>
      <c r="D9" s="7"/>
      <c r="E9" s="7" t="s">
        <v>23</v>
      </c>
      <c r="F9" s="7" t="s">
        <v>24</v>
      </c>
      <c r="G9" s="7"/>
      <c r="H9" s="7"/>
    </row>
    <row r="10" customHeight="1" spans="1:8">
      <c r="A10" s="6"/>
      <c r="B10" s="7"/>
      <c r="C10" s="7"/>
      <c r="D10" s="7"/>
      <c r="E10" s="7"/>
      <c r="F10" s="7"/>
      <c r="G10" s="7"/>
      <c r="H10" s="7"/>
    </row>
    <row r="11" customHeight="1" spans="1:8">
      <c r="A11" s="6">
        <f>ROW()-6</f>
        <v>5</v>
      </c>
      <c r="B11" s="7">
        <v>1</v>
      </c>
      <c r="C11" s="7" t="s">
        <v>25</v>
      </c>
      <c r="D11" s="7"/>
      <c r="E11" s="7">
        <v>2410</v>
      </c>
      <c r="F11" s="7" t="s">
        <v>26</v>
      </c>
      <c r="G11" s="7" t="s">
        <v>27</v>
      </c>
      <c r="H11" s="7"/>
    </row>
    <row r="12" customHeight="1" spans="1:8">
      <c r="A12" s="6">
        <f>ROW()-6</f>
        <v>6</v>
      </c>
      <c r="B12" s="7" t="s">
        <v>28</v>
      </c>
      <c r="C12" s="7" t="s">
        <v>29</v>
      </c>
      <c r="D12" s="7"/>
      <c r="E12" s="7" t="s">
        <v>30</v>
      </c>
      <c r="F12" s="7"/>
      <c r="G12" s="7"/>
      <c r="H12" s="7"/>
    </row>
    <row r="13" customHeight="1" spans="1:8">
      <c r="A13" s="6">
        <f>ROW()-6</f>
        <v>7</v>
      </c>
      <c r="B13" s="7" t="s">
        <v>24</v>
      </c>
      <c r="C13" s="7" t="s">
        <v>31</v>
      </c>
      <c r="D13" s="7"/>
      <c r="E13" s="7" t="s">
        <v>32</v>
      </c>
      <c r="F13" s="7"/>
      <c r="G13" s="7"/>
      <c r="H13" s="7"/>
    </row>
    <row r="14" customHeight="1" spans="1:8">
      <c r="A14" s="6">
        <v>8</v>
      </c>
      <c r="B14" s="7">
        <v>3</v>
      </c>
      <c r="C14" s="7" t="s">
        <v>33</v>
      </c>
      <c r="D14" s="7"/>
      <c r="E14" s="7" t="s">
        <v>34</v>
      </c>
      <c r="F14" s="7"/>
      <c r="G14" s="7"/>
      <c r="H14" s="7"/>
    </row>
    <row r="15" customHeight="1" spans="1:8">
      <c r="A15" s="6"/>
      <c r="B15" s="7"/>
      <c r="C15" s="7"/>
      <c r="D15" s="7"/>
      <c r="E15" s="7"/>
      <c r="F15" s="7"/>
      <c r="G15" s="7"/>
      <c r="H15" s="7"/>
    </row>
    <row r="16" customHeight="1" spans="1:8">
      <c r="A16" s="6">
        <f t="shared" ref="A16:A20" si="1">ROW()-6</f>
        <v>10</v>
      </c>
      <c r="B16" s="7">
        <v>1</v>
      </c>
      <c r="C16" s="7" t="s">
        <v>35</v>
      </c>
      <c r="D16" s="7"/>
      <c r="E16" s="7" t="s">
        <v>36</v>
      </c>
      <c r="F16" s="7" t="s">
        <v>37</v>
      </c>
      <c r="G16" s="7" t="s">
        <v>38</v>
      </c>
      <c r="H16" s="7"/>
    </row>
    <row r="17" customHeight="1" spans="1:8">
      <c r="A17" s="6">
        <f>ROW()-6</f>
        <v>11</v>
      </c>
      <c r="B17" s="7">
        <v>2</v>
      </c>
      <c r="C17" s="7" t="s">
        <v>39</v>
      </c>
      <c r="D17" s="7"/>
      <c r="E17" s="7" t="s">
        <v>40</v>
      </c>
      <c r="F17" s="7"/>
      <c r="G17" s="7"/>
      <c r="H17" s="7"/>
    </row>
    <row r="18" customHeight="1" spans="1:8">
      <c r="A18" s="6">
        <f>ROW()-6</f>
        <v>12</v>
      </c>
      <c r="B18" s="7">
        <v>2</v>
      </c>
      <c r="C18" s="7" t="s">
        <v>41</v>
      </c>
      <c r="D18" s="7"/>
      <c r="E18" s="7" t="s">
        <v>42</v>
      </c>
      <c r="F18" s="7" t="s">
        <v>43</v>
      </c>
      <c r="G18" s="7"/>
      <c r="H18" s="7"/>
    </row>
    <row r="19" customHeight="1" spans="1:8">
      <c r="A19" s="6">
        <f>ROW()-6</f>
        <v>13</v>
      </c>
      <c r="B19" s="7">
        <v>2</v>
      </c>
      <c r="C19" s="7" t="s">
        <v>44</v>
      </c>
      <c r="D19" s="7"/>
      <c r="E19" s="7" t="s">
        <v>45</v>
      </c>
      <c r="F19" s="7"/>
      <c r="G19" s="7"/>
      <c r="H19" s="7"/>
    </row>
    <row r="20" customHeight="1" spans="1:9">
      <c r="A20" s="6">
        <f>ROW()-6</f>
        <v>14</v>
      </c>
      <c r="B20" s="7">
        <v>4</v>
      </c>
      <c r="C20" s="7" t="s">
        <v>46</v>
      </c>
      <c r="D20" s="7"/>
      <c r="E20" s="7"/>
      <c r="F20" s="7"/>
      <c r="G20" s="7"/>
      <c r="H20" s="7"/>
      <c r="I20">
        <v>100</v>
      </c>
    </row>
    <row r="21" customHeight="1" spans="1:8">
      <c r="A21" s="6"/>
      <c r="B21" s="7"/>
      <c r="C21" s="7"/>
      <c r="D21" s="7"/>
      <c r="E21" s="7"/>
      <c r="F21" s="7"/>
      <c r="G21" s="7"/>
      <c r="H21" s="7"/>
    </row>
    <row r="22" customHeight="1" spans="1:9">
      <c r="A22" s="6">
        <f t="shared" ref="A22:A37" si="2">ROW()-6</f>
        <v>16</v>
      </c>
      <c r="B22" s="7">
        <v>5</v>
      </c>
      <c r="C22" s="7" t="s">
        <v>47</v>
      </c>
      <c r="D22" s="7"/>
      <c r="E22" s="7" t="s">
        <v>48</v>
      </c>
      <c r="F22" s="7" t="s">
        <v>49</v>
      </c>
      <c r="G22" s="7" t="s">
        <v>0</v>
      </c>
      <c r="H22" s="7" t="s">
        <v>0</v>
      </c>
      <c r="I22" t="s">
        <v>50</v>
      </c>
    </row>
    <row r="23" customHeight="1" spans="1:8">
      <c r="A23" s="6">
        <f>ROW()-6</f>
        <v>17</v>
      </c>
      <c r="B23" s="7">
        <v>1</v>
      </c>
      <c r="C23" s="7" t="s">
        <v>47</v>
      </c>
      <c r="D23" s="7"/>
      <c r="E23" s="7" t="s">
        <v>48</v>
      </c>
      <c r="F23" s="7" t="s">
        <v>51</v>
      </c>
      <c r="G23" s="7" t="s">
        <v>0</v>
      </c>
      <c r="H23" s="7" t="s">
        <v>0</v>
      </c>
    </row>
    <row r="24" customHeight="1" spans="1:9">
      <c r="A24" s="6">
        <f>ROW()-6</f>
        <v>18</v>
      </c>
      <c r="B24" s="7">
        <v>2</v>
      </c>
      <c r="C24" s="7" t="s">
        <v>52</v>
      </c>
      <c r="D24" s="7"/>
      <c r="E24" s="7" t="s">
        <v>48</v>
      </c>
      <c r="F24" s="7" t="s">
        <v>51</v>
      </c>
      <c r="G24" s="7" t="s">
        <v>0</v>
      </c>
      <c r="H24" s="7" t="s">
        <v>0</v>
      </c>
      <c r="I24">
        <v>200</v>
      </c>
    </row>
    <row r="25" customHeight="1" spans="1:9">
      <c r="A25" s="6">
        <f>ROW()-6</f>
        <v>19</v>
      </c>
      <c r="B25" s="7">
        <v>4</v>
      </c>
      <c r="C25" s="7" t="s">
        <v>47</v>
      </c>
      <c r="D25" s="7"/>
      <c r="E25" s="7" t="s">
        <v>48</v>
      </c>
      <c r="F25" s="7" t="s">
        <v>53</v>
      </c>
      <c r="G25" s="7"/>
      <c r="H25" s="7"/>
      <c r="I25" t="s">
        <v>50</v>
      </c>
    </row>
    <row r="26" customHeight="1" spans="1:8">
      <c r="A26" s="6"/>
      <c r="B26" s="7"/>
      <c r="C26" s="7"/>
      <c r="D26" s="7"/>
      <c r="E26" s="7"/>
      <c r="F26" s="7"/>
      <c r="G26" s="7"/>
      <c r="H26" s="7"/>
    </row>
    <row r="27" customHeight="1" spans="1:9">
      <c r="A27" s="6">
        <f>ROW()-6</f>
        <v>21</v>
      </c>
      <c r="B27" s="7">
        <v>9</v>
      </c>
      <c r="C27" s="7" t="s">
        <v>54</v>
      </c>
      <c r="D27" s="7"/>
      <c r="E27" s="7" t="s">
        <v>48</v>
      </c>
      <c r="F27" s="7" t="s">
        <v>55</v>
      </c>
      <c r="G27" s="7"/>
      <c r="H27" s="7"/>
      <c r="I27" t="s">
        <v>56</v>
      </c>
    </row>
    <row r="28" customHeight="1" spans="1:9">
      <c r="A28" s="6">
        <f>ROW()-6</f>
        <v>22</v>
      </c>
      <c r="B28" s="7">
        <v>13</v>
      </c>
      <c r="C28" s="7" t="s">
        <v>57</v>
      </c>
      <c r="D28" s="7"/>
      <c r="E28" s="7" t="s">
        <v>48</v>
      </c>
      <c r="F28" s="7" t="s">
        <v>55</v>
      </c>
      <c r="G28" s="7"/>
      <c r="H28" s="7"/>
      <c r="I28">
        <v>300</v>
      </c>
    </row>
    <row r="29" customHeight="1" spans="1:9">
      <c r="A29" s="6">
        <f>ROW()-6</f>
        <v>23</v>
      </c>
      <c r="B29" s="7">
        <v>2</v>
      </c>
      <c r="C29" s="7" t="s">
        <v>54</v>
      </c>
      <c r="D29" s="7"/>
      <c r="E29" s="7" t="s">
        <v>58</v>
      </c>
      <c r="F29" s="7" t="s">
        <v>51</v>
      </c>
      <c r="G29" s="7"/>
      <c r="H29" s="7"/>
      <c r="I29">
        <v>150</v>
      </c>
    </row>
    <row r="30" customHeight="1" spans="1:8">
      <c r="A30" s="6"/>
      <c r="B30" s="7">
        <v>2</v>
      </c>
      <c r="C30" s="7" t="s">
        <v>59</v>
      </c>
      <c r="D30" s="7"/>
      <c r="E30" s="7" t="s">
        <v>48</v>
      </c>
      <c r="F30" s="7"/>
      <c r="G30" s="7"/>
      <c r="H30" s="7"/>
    </row>
    <row r="31" customHeight="1" spans="1:8">
      <c r="A31" s="6"/>
      <c r="B31" s="7"/>
      <c r="C31" s="7"/>
      <c r="D31" s="7"/>
      <c r="E31" s="7"/>
      <c r="F31" s="7"/>
      <c r="G31" s="7"/>
      <c r="H31" s="7"/>
    </row>
    <row r="32" customHeight="1" spans="1:8">
      <c r="A32" s="6">
        <f>ROW()-6</f>
        <v>26</v>
      </c>
      <c r="B32" s="7">
        <v>3</v>
      </c>
      <c r="C32" s="7" t="s">
        <v>60</v>
      </c>
      <c r="D32" s="7"/>
      <c r="E32" s="7" t="s">
        <v>61</v>
      </c>
      <c r="F32" s="7" t="s">
        <v>62</v>
      </c>
      <c r="G32" s="7"/>
      <c r="H32" s="7"/>
    </row>
    <row r="33" customHeight="1" spans="1:8">
      <c r="A33" s="6">
        <f>ROW()-6</f>
        <v>27</v>
      </c>
      <c r="B33" s="7">
        <v>1</v>
      </c>
      <c r="C33" s="7" t="s">
        <v>63</v>
      </c>
      <c r="D33" s="7"/>
      <c r="E33" s="7" t="s">
        <v>64</v>
      </c>
      <c r="F33" s="7"/>
      <c r="G33" s="7"/>
      <c r="H33" s="7" t="s">
        <v>65</v>
      </c>
    </row>
    <row r="34" customHeight="1" spans="1:8">
      <c r="A34" s="6">
        <f>ROW()-6</f>
        <v>28</v>
      </c>
      <c r="B34" s="7"/>
      <c r="C34" s="7"/>
      <c r="D34" s="7"/>
      <c r="E34" s="7"/>
      <c r="F34" s="7"/>
      <c r="G34" s="7"/>
      <c r="H34" s="7"/>
    </row>
    <row r="35" customHeight="1" spans="1:8">
      <c r="A35" s="6">
        <f>ROW()-6</f>
        <v>29</v>
      </c>
      <c r="B35" s="7"/>
      <c r="C35" s="7"/>
      <c r="D35" s="7"/>
      <c r="E35" s="7"/>
      <c r="F35" s="7"/>
      <c r="G35" s="7"/>
      <c r="H35" s="7"/>
    </row>
    <row r="36" customHeight="1" spans="1:8">
      <c r="A36" s="6">
        <f>ROW()-6</f>
        <v>30</v>
      </c>
      <c r="B36" s="7"/>
      <c r="C36" s="7"/>
      <c r="D36" s="7"/>
      <c r="E36" s="7"/>
      <c r="F36" s="7"/>
      <c r="G36" s="7"/>
      <c r="H36" s="7"/>
    </row>
    <row r="37" customHeight="1" spans="1:8">
      <c r="A37" s="6">
        <f>ROW()-6</f>
        <v>31</v>
      </c>
      <c r="B37" s="7"/>
      <c r="C37" s="7"/>
      <c r="D37" s="7"/>
      <c r="E37" s="7"/>
      <c r="F37" s="7"/>
      <c r="G37" s="7"/>
      <c r="H37" s="7"/>
    </row>
    <row r="38" customHeight="1" spans="1:8">
      <c r="A38" s="6">
        <f>ROW()-6</f>
        <v>32</v>
      </c>
      <c r="B38" s="8"/>
      <c r="C38" s="8"/>
      <c r="D38" s="8"/>
      <c r="E38" s="8"/>
      <c r="F38" s="8"/>
      <c r="G38" s="8"/>
      <c r="H38" s="8"/>
    </row>
  </sheetData>
  <mergeCells count="4">
    <mergeCell ref="B38:H38"/>
    <mergeCell ref="E1:E2"/>
    <mergeCell ref="F1:F2"/>
    <mergeCell ref="A1:D5"/>
  </mergeCells>
  <pageMargins left="0.699305555555556" right="0.699305555555556" top="0.75" bottom="0.75" header="0.3" footer="0.3"/>
  <pageSetup paperSize="9" orientation="portrait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1"/>
  <sheetViews>
    <sheetView zoomScale="220" zoomScaleNormal="220" workbookViewId="0">
      <selection activeCell="B14" sqref="B14"/>
    </sheetView>
  </sheetViews>
  <sheetFormatPr defaultColWidth="9" defaultRowHeight="14.25" customHeight="1" outlineLevelCol="1"/>
  <cols>
    <col min="1" max="1" width="23.625" customWidth="1"/>
    <col min="2" max="2" width="57.5" customWidth="1"/>
  </cols>
  <sheetData>
    <row r="1" customHeight="1" spans="1:2">
      <c r="A1" s="1" t="s">
        <v>66</v>
      </c>
      <c r="B1" s="1" t="s">
        <v>4</v>
      </c>
    </row>
    <row r="2" customHeight="1" spans="1:2">
      <c r="A2" s="1" t="s">
        <v>67</v>
      </c>
      <c r="B2" s="1" t="s">
        <v>68</v>
      </c>
    </row>
    <row r="3" customHeight="1" spans="1:2">
      <c r="A3" s="1" t="s">
        <v>69</v>
      </c>
      <c r="B3" s="1" t="s">
        <v>70</v>
      </c>
    </row>
    <row r="4" customHeight="1" spans="1:2">
      <c r="A4" s="1" t="s">
        <v>71</v>
      </c>
      <c r="B4" s="1" t="s">
        <v>72</v>
      </c>
    </row>
    <row r="5" customHeight="1" spans="1:2">
      <c r="A5" s="1" t="s">
        <v>73</v>
      </c>
      <c r="B5" s="1" t="s">
        <v>6</v>
      </c>
    </row>
    <row r="6" customHeight="1" spans="1:2">
      <c r="A6" s="1" t="s">
        <v>74</v>
      </c>
      <c r="B6" s="1">
        <v>25</v>
      </c>
    </row>
    <row r="7" customHeight="1" spans="1:2">
      <c r="A7" s="1" t="s">
        <v>75</v>
      </c>
      <c r="B7" s="1" t="s">
        <v>76</v>
      </c>
    </row>
    <row r="8" customHeight="1" spans="1:2">
      <c r="A8" s="1" t="s">
        <v>77</v>
      </c>
      <c r="B8" s="1" t="s">
        <v>78</v>
      </c>
    </row>
    <row r="9" customHeight="1" spans="1:2">
      <c r="A9" s="1" t="s">
        <v>79</v>
      </c>
      <c r="B9" s="1" t="s">
        <v>8</v>
      </c>
    </row>
    <row r="10" customHeight="1" spans="1:2">
      <c r="A10" s="1" t="s">
        <v>80</v>
      </c>
      <c r="B10" s="1" t="s">
        <v>2</v>
      </c>
    </row>
    <row r="11" customHeight="1" spans="1:2">
      <c r="A11" s="1" t="s">
        <v>81</v>
      </c>
      <c r="B11" s="1" t="s">
        <v>82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老王音响-王银16650168790</cp:lastModifiedBy>
  <dcterms:created xsi:type="dcterms:W3CDTF">2026-09-23T10:30:12Z</dcterms:created>
  <dcterms:modified xsi:type="dcterms:W3CDTF">2026-09-23T11:18:37Z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2052-9.1.0.4489</vt:lpwstr>
  </property>
  <property fmtid="{D5CDD505-2E9C-101B-9397-08002B2CF9AE}" pid="3" name="ICV">
    <vt:lpwstr>8EE2902C98A4EB9B41E88E6A72656091_42</vt:lpwstr>
  </property>
</Properties>
</file>