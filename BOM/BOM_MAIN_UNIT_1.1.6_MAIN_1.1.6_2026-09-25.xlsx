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80" windowHeight="7840"/>
  </bookViews>
  <sheets>
    <sheet name="bom模板" sheetId="1" r:id="rId1"/>
    <sheet name="Field汇总" sheetId="2" r:id="rId2"/>
  </sheets>
  <calcPr calcId="144525"/>
</workbook>
</file>

<file path=xl/sharedStrings.xml><?xml version="1.0" encoding="utf-8"?>
<sst xmlns="http://schemas.openxmlformats.org/spreadsheetml/2006/main" count="218">
  <si>
    <t/>
  </si>
  <si>
    <t xml:space="preserve">Bill of Materials </t>
  </si>
  <si>
    <t>BOM_MAIN_UNIT_1.1.6_MAIN_1.1.6_2026-09-25</t>
  </si>
  <si>
    <t>Project Title：</t>
  </si>
  <si>
    <t>PrTrx_开源</t>
  </si>
  <si>
    <t>Variant:</t>
  </si>
  <si>
    <t xml:space="preserve"> </t>
  </si>
  <si>
    <t>Report Time：</t>
  </si>
  <si>
    <t>2026年9月25日 16:39:25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</si>
  <si>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</si>
  <si>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</si>
  <si>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</si>
  <si>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</si>
  <si>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</si>
  <si>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</si>
  <si>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</si>
  <si>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</si>
  <si>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备注</t>
  </si>
  <si>
    <t>100nF</t>
  </si>
  <si>
    <t>C1, C2, C4, C5, C6, C7, C11, C19, C21, C23, C35, C39, C41, C42, C44, C45, C49, C50, C52, C53, C54, C79, C82, C86, C88, C91, C92, C93, C94, C95, C99, C101, C102, C103, C104</t>
  </si>
  <si>
    <t>C0603</t>
  </si>
  <si>
    <t>50V/±5%/X7R or NP0 C0G</t>
  </si>
  <si>
    <t>10nF</t>
  </si>
  <si>
    <t>C3, C10, C12, C13, C14, C15, C25, C27, C30, C31, C36, C37, C40, C105, C106, C107, C108</t>
  </si>
  <si>
    <t>220nF</t>
  </si>
  <si>
    <t>C8, C26, C28, C29, C32, C96, C97</t>
  </si>
  <si>
    <t>1uF</t>
  </si>
  <si>
    <t>C9, C43</t>
  </si>
  <si>
    <t>MIN: 10V</t>
  </si>
  <si>
    <t>100uF</t>
  </si>
  <si>
    <t>C16, C33, C46, C98</t>
  </si>
  <si>
    <t>CAP-SMD_BD5.0-L5.3-W5.3-LS6.3-FD</t>
  </si>
  <si>
    <t>270pF</t>
  </si>
  <si>
    <t>C17, C18, C67, C69, C70, C72</t>
  </si>
  <si>
    <t>muRata(村田)</t>
  </si>
  <si>
    <t>50V/±5%/NP0 C0G</t>
  </si>
  <si>
    <t>22uF</t>
  </si>
  <si>
    <t>C20, C22, C24, C38, C100</t>
  </si>
  <si>
    <t>390pF</t>
  </si>
  <si>
    <t>C34</t>
  </si>
  <si>
    <t>10uF</t>
  </si>
  <si>
    <t>C47, C48, C51, C80, C81, C83, C84, C90, C109</t>
  </si>
  <si>
    <t>1nF</t>
  </si>
  <si>
    <t>C55, C57, C58, C60</t>
  </si>
  <si>
    <t>510pF</t>
  </si>
  <si>
    <t>C56, C64, C66</t>
  </si>
  <si>
    <t>1.5nF</t>
  </si>
  <si>
    <t>C59</t>
  </si>
  <si>
    <t>820pF</t>
  </si>
  <si>
    <t>C61, C63, C65</t>
  </si>
  <si>
    <t>470pF</t>
  </si>
  <si>
    <t>C62, C71</t>
  </si>
  <si>
    <t>180pF</t>
  </si>
  <si>
    <t>C68</t>
  </si>
  <si>
    <t>120pF</t>
  </si>
  <si>
    <t>C73, C75, C76, C78</t>
  </si>
  <si>
    <t>82pF</t>
  </si>
  <si>
    <t>C74</t>
  </si>
  <si>
    <t>220pF</t>
  </si>
  <si>
    <t>C77</t>
  </si>
  <si>
    <t>PJ-393 8PJ</t>
  </si>
  <si>
    <t>CN1, CN2, CN3</t>
  </si>
  <si>
    <t>AUDIO-TH_PJ-393-8A</t>
  </si>
  <si>
    <t>G-Switch(品赞)</t>
  </si>
  <si>
    <t>DSS14</t>
  </si>
  <si>
    <t>D1</t>
  </si>
  <si>
    <t>SOD-123FL_L2.8-W1.8-LS3.6-RD</t>
  </si>
  <si>
    <t>BAV99</t>
  </si>
  <si>
    <t>D2</t>
  </si>
  <si>
    <t>SOT-23-3_L2.9-W1.3-P1.90-LS2.4-BR</t>
  </si>
  <si>
    <t>PESD5V0S1BA</t>
  </si>
  <si>
    <t>D3, D4</t>
  </si>
  <si>
    <t>SOD-323_L1.7-W1.3-LS2.5-BI</t>
  </si>
  <si>
    <t>KH-CL0.5-H2.0-20PIN</t>
  </si>
  <si>
    <t>FPC1</t>
  </si>
  <si>
    <t>FPC-SMD_KH-CL0.5-H2.0-20PIN</t>
  </si>
  <si>
    <t>下接</t>
  </si>
  <si>
    <t>HC-PZ200-8.7L-2x5PZ</t>
  </si>
  <si>
    <t>H1</t>
  </si>
  <si>
    <t>HDR-TH_10P-P2.00-V-M-R2-C5-S2.00</t>
  </si>
  <si>
    <t>不需要</t>
  </si>
  <si>
    <t>HX PZ1.27-1x8P TP-YQ</t>
  </si>
  <si>
    <t>H2, H3</t>
  </si>
  <si>
    <t>HDR-SMD_8P-P1.27-V-M-LS4.2</t>
  </si>
  <si>
    <t>JUMPER-SHORT</t>
  </si>
  <si>
    <t>JP1</t>
  </si>
  <si>
    <t>JUMPER-SPARKFUN</t>
  </si>
  <si>
    <t>JP2</t>
  </si>
  <si>
    <t>2.2uH</t>
  </si>
  <si>
    <t>L1, L2, L3, L4</t>
  </si>
  <si>
    <t>IND-SMD_L2.9-W2.8</t>
  </si>
  <si>
    <t>5%高频电感</t>
  </si>
  <si>
    <t>1.2uH</t>
  </si>
  <si>
    <t>L5, L6, L7, L8</t>
  </si>
  <si>
    <t>680nH</t>
  </si>
  <si>
    <t>L9, L10, L11, L12</t>
  </si>
  <si>
    <t>330nH</t>
  </si>
  <si>
    <t>L13, L14, L15, L16</t>
  </si>
  <si>
    <t>MPZ1608S601ATA00</t>
  </si>
  <si>
    <t>L17, L21, L22, L25</t>
  </si>
  <si>
    <t>L0603</t>
  </si>
  <si>
    <t>磁珠，MIN: 1A</t>
  </si>
  <si>
    <t>15uH</t>
  </si>
  <si>
    <t>L18, L19, L23, L24</t>
  </si>
  <si>
    <t>IND-SMD_L1.8-W1.3</t>
  </si>
  <si>
    <t>L20</t>
  </si>
  <si>
    <t>L0805</t>
  </si>
  <si>
    <t>2N7002K</t>
  </si>
  <si>
    <t>Q1</t>
  </si>
  <si>
    <t>SOT-23-3_L2.9-W1.3-P0.95-LS2.4-BR</t>
  </si>
  <si>
    <t>10K</t>
  </si>
  <si>
    <t>R1, R4, R5, R6, R7, R8, R9, R30, R42, R44, R45, R46, R52, R53, R54, R55</t>
  </si>
  <si>
    <t>R0603</t>
  </si>
  <si>
    <t>1%,IQ相关需用0.1%</t>
  </si>
  <si>
    <t>4.7K</t>
  </si>
  <si>
    <t>R2, R3, R20, R22, R25, R26</t>
  </si>
  <si>
    <t>100R</t>
  </si>
  <si>
    <t>R10, R11, R12, R13, R14, R21, R23, R24, R27, R34</t>
  </si>
  <si>
    <t>10R</t>
  </si>
  <si>
    <t>R15, R28</t>
  </si>
  <si>
    <t>R0805</t>
  </si>
  <si>
    <t>1K</t>
  </si>
  <si>
    <t>R16, R17, R39, R47, R48</t>
  </si>
  <si>
    <t>18K</t>
  </si>
  <si>
    <t>R18, R19</t>
  </si>
  <si>
    <t>100K</t>
  </si>
  <si>
    <t>R29, R32, R33, R35, R38</t>
  </si>
  <si>
    <t>2K</t>
  </si>
  <si>
    <t>R31, R36, R37</t>
  </si>
  <si>
    <t>560R</t>
  </si>
  <si>
    <t>R40</t>
  </si>
  <si>
    <t>470R</t>
  </si>
  <si>
    <t>R41</t>
  </si>
  <si>
    <t>62R</t>
  </si>
  <si>
    <t>R43</t>
  </si>
  <si>
    <t>49.9R</t>
  </si>
  <si>
    <t>R57</t>
  </si>
  <si>
    <t>6GHz</t>
  </si>
  <si>
    <t>RX, TX</t>
  </si>
  <si>
    <t>IPEX-SMD_3P-L2.6-W2.6-LS3.0_MHFIANTENNACONNECTOR</t>
  </si>
  <si>
    <t>HL2-IPEX1-SMT</t>
  </si>
  <si>
    <t>HenryTech(恒利泰)</t>
  </si>
  <si>
    <t>SH-MX1.25-2PWT</t>
  </si>
  <si>
    <t>SPK</t>
  </si>
  <si>
    <t>CONN-SMD_2P-P1.25-2</t>
  </si>
  <si>
    <t>SHOU HAN(首韩)</t>
  </si>
  <si>
    <t>Pico 2</t>
  </si>
  <si>
    <t>U1</t>
  </si>
  <si>
    <t>COMM-SMD_L51.0-W21.0-P2.54_SC0916</t>
  </si>
  <si>
    <t>建议使用第三方type-c接口的</t>
  </si>
  <si>
    <t>LMV324IDR</t>
  </si>
  <si>
    <t>U2</t>
  </si>
  <si>
    <t>SOIC-14_L8.7-W3.9-P1.27-LS6.0-BL</t>
  </si>
  <si>
    <t>TI(德州仪器)</t>
  </si>
  <si>
    <t>PCM1808PWR</t>
  </si>
  <si>
    <t>U3</t>
  </si>
  <si>
    <t>TSSOP-14_L5.0-W4.4-P0.65-LS6.4-BL</t>
  </si>
  <si>
    <t>TL974IDR</t>
  </si>
  <si>
    <t>U4</t>
  </si>
  <si>
    <t>SOIC-14_L8.7-W3.9-P1.27-LS6.0-BL-1</t>
  </si>
  <si>
    <t>FST3253MTCX</t>
  </si>
  <si>
    <t>U5, U14, U24</t>
  </si>
  <si>
    <t>TSSOP-16_L5.0-W4.4-P0.65-LS6.4-BL</t>
  </si>
  <si>
    <t>onsemi(安森美)</t>
  </si>
  <si>
    <t>MS5351M</t>
  </si>
  <si>
    <t>U6</t>
  </si>
  <si>
    <t>MSOP-10_L3.0-W3.0-P0.50-LS5.0-BL</t>
  </si>
  <si>
    <t>杭州瑞盟</t>
  </si>
  <si>
    <t>LP5907MFX-3.3/NOPB</t>
  </si>
  <si>
    <t>U7, U16</t>
  </si>
  <si>
    <t>SOT-23-5_L3.0-W1.7-P0.95-LS2.8-BR</t>
  </si>
  <si>
    <t>NS4160</t>
  </si>
  <si>
    <t>U8</t>
  </si>
  <si>
    <t>ESOP-8_L4.9-W3.9-P1.27-LS6.0-BL-EP2.0</t>
  </si>
  <si>
    <t>Nsiway(纳芯威)</t>
  </si>
  <si>
    <t>CH32V203G6U6</t>
  </si>
  <si>
    <t>U9</t>
  </si>
  <si>
    <t>QFN-28_L4.0-W4.0-P0.40-BL-EP2.7</t>
  </si>
  <si>
    <t>WCH(南京沁恒)</t>
  </si>
  <si>
    <t>BGA 614 H6327</t>
  </si>
  <si>
    <t>U10</t>
  </si>
  <si>
    <t>SOT-343-4_L2.0-W1.3-P1.30-LS2.1-BL</t>
  </si>
  <si>
    <t>Infineon(英飞凌)</t>
  </si>
  <si>
    <t>26MHz</t>
  </si>
  <si>
    <t>U11</t>
  </si>
  <si>
    <t>OSC-SMD_4P-L2.5-W2.0-BL</t>
  </si>
  <si>
    <t>LMV321IDBVR</t>
  </si>
  <si>
    <t>U12</t>
  </si>
  <si>
    <t>ME6217C33M5G</t>
  </si>
  <si>
    <t>U13</t>
  </si>
  <si>
    <t>MICRONE(南京微盟)</t>
  </si>
  <si>
    <t>PE4312C-Z</t>
  </si>
  <si>
    <t>U15</t>
  </si>
  <si>
    <t>QFN-20_L4.0-W4.0-P0.50-BL-EP2.2</t>
  </si>
  <si>
    <t>pSemi(游隼半导体)</t>
  </si>
  <si>
    <t>AT24C16C</t>
  </si>
  <si>
    <t>U23</t>
  </si>
  <si>
    <t>SOT-23-5_L3.0-W1.7-P0.95-LS2.8-BL</t>
  </si>
  <si>
    <t>74LVC2G04GW</t>
  </si>
  <si>
    <t>U25</t>
  </si>
  <si>
    <t>SOT-363_L2.1-W1.3-P0.65-LS2.2-BL</t>
  </si>
  <si>
    <t>Project Title</t>
  </si>
  <si>
    <t>Borard Title</t>
  </si>
  <si>
    <t>MAIN_UNIT_1.1.6</t>
  </si>
  <si>
    <t>Schematic Title</t>
  </si>
  <si>
    <t>Schematic1_12</t>
  </si>
  <si>
    <t>PCB Title</t>
  </si>
  <si>
    <t>MAIN_1.1.6</t>
  </si>
  <si>
    <t>Variant Name</t>
  </si>
  <si>
    <t>Total Quantity</t>
  </si>
  <si>
    <t>Report Time</t>
  </si>
  <si>
    <t>16:39:25</t>
  </si>
  <si>
    <t>Report Date</t>
  </si>
  <si>
    <t>2026年9月25日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</si>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</sst>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">
    <font>
      <sz val="11"/>
      <color indexed="8"/>
      <name val="Calibri"/>
      <family val="2"/>
      <charset val="134"/>
    </font>
    <font>
      <sz val="12"/>
      <name val="宋体"/>
      <charset val="134"/>
    </font>
    <font>
      <sz val="11"/>
      <color indexed="8"/>
      <name val="等线"/>
      <charset val="134"/>
    </font>
    <font>
      <b/>
      <sz val="11"/>
      <color indexed="8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2">
    <xf numFmtId="0" fontId="0" fillId="0" borderId="0" xfId="0" applyAlignment="1"/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2" fillId="2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9" fontId="2" fillId="3" borderId="1" xfId="0" applyNumberFormat="1" applyFont="1" applyFill="1" applyBorder="1" applyAlignment="1"/>
    <xf numFmtId="0" fontId="2" fillId="3" borderId="0" xfId="0" applyFont="1" applyFill="1" applyAlignment="1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1"/>
  <sheetViews>
    <sheetView showGridLines="0" tabSelected="1" zoomScale="115" zoomScaleNormal="115" topLeftCell="B7" workbookViewId="0">
      <selection activeCell="I17" sqref="I17"/>
    </sheetView>
  </sheetViews>
  <sheetFormatPr defaultColWidth="9" defaultRowHeight="14.25" customHeight="1"/>
  <cols>
    <col min="1" max="1" width="16.247619047619" customWidth="1"/>
    <col min="2" max="2" width="17.1238095238095" customWidth="1"/>
    <col min="3" max="3" width="18" customWidth="1"/>
    <col min="4" max="4" width="15.247619047619" customWidth="1"/>
    <col min="5" max="5" width="13.1238095238095" customWidth="1"/>
    <col min="6" max="6" width="13.247619047619" customWidth="1"/>
    <col min="7" max="7" width="14.3714285714286" customWidth="1"/>
    <col min="8" max="8" width="16.8761904761905" customWidth="1"/>
    <col min="9" max="9" width="26.6952380952381" customWidth="1"/>
  </cols>
  <sheetData>
    <row r="1" customHeight="1" spans="1:8">
      <c r="A1" s="2" t="s">
        <v>0</v>
      </c>
      <c r="B1" s="2"/>
      <c r="C1" s="2"/>
      <c r="D1" s="2"/>
      <c r="E1" s="3" t="s">
        <v>1</v>
      </c>
      <c r="F1" s="3" t="s">
        <v>2</v>
      </c>
      <c r="G1" t="s">
        <v>0</v>
      </c>
      <c r="H1" t="s">
        <v>0</v>
      </c>
    </row>
    <row r="2" customHeight="1" spans="1:8">
      <c r="A2" s="2"/>
      <c r="B2" s="2"/>
      <c r="C2" s="2"/>
      <c r="D2" s="2"/>
      <c r="E2" s="3"/>
      <c r="F2" s="3"/>
      <c r="G2" t="s">
        <v>0</v>
      </c>
      <c r="H2" t="s">
        <v>0</v>
      </c>
    </row>
    <row r="3" customHeight="1" spans="1:8">
      <c r="A3" s="2"/>
      <c r="B3" s="2"/>
      <c r="C3" s="2"/>
      <c r="D3" s="2"/>
      <c r="E3" s="4" t="s">
        <v>3</v>
      </c>
      <c r="F3" t="s">
        <v>4</v>
      </c>
      <c r="G3" t="s">
        <v>0</v>
      </c>
      <c r="H3" t="s">
        <v>0</v>
      </c>
    </row>
    <row r="4" customHeight="1" spans="1:8">
      <c r="A4" s="2"/>
      <c r="B4" s="2"/>
      <c r="C4" s="2"/>
      <c r="D4" s="2"/>
      <c r="E4" s="4" t="s">
        <v>5</v>
      </c>
      <c r="F4" t="s">
        <v>6</v>
      </c>
      <c r="G4" t="s">
        <v>0</v>
      </c>
      <c r="H4" t="s">
        <v>0</v>
      </c>
    </row>
    <row r="5" customHeight="1" spans="1:8">
      <c r="A5" s="2"/>
      <c r="B5" s="2"/>
      <c r="C5" s="2"/>
      <c r="D5" s="2"/>
      <c r="E5" s="4" t="s">
        <v>7</v>
      </c>
      <c r="F5" t="s">
        <v>8</v>
      </c>
      <c r="G5" t="s">
        <v>0</v>
      </c>
      <c r="H5" t="s">
        <v>0</v>
      </c>
    </row>
    <row r="6" customHeight="1" spans="1:9">
      <c r="A6" s="1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8" t="s">
        <v>17</v>
      </c>
    </row>
    <row r="7" customHeight="1" spans="1:9">
      <c r="A7" s="6">
        <f t="shared" ref="A7:A70" si="0">ROW()-6</f>
        <v>0</v>
      </c>
      <c r="B7" s="7">
        <v>35</v>
      </c>
      <c r="C7" s="7" t="s">
        <v>18</v>
      </c>
      <c r="D7" s="7" t="s">
        <v>19</v>
      </c>
      <c r="E7" s="7" t="s">
        <v>20</v>
      </c>
      <c r="F7" s="7" t="s">
        <v>18</v>
      </c>
      <c r="G7" s="7" t="s">
        <v>0</v>
      </c>
      <c r="H7" s="7" t="s">
        <v>0</v>
      </c>
      <c r="I7" s="9" t="s">
        <v>21</v>
      </c>
    </row>
    <row r="8" customHeight="1" spans="1:9">
      <c r="A8" s="6">
        <f>ROW()-6</f>
        <v>0</v>
      </c>
      <c r="B8" s="7">
        <v>17</v>
      </c>
      <c r="C8" s="7" t="s">
        <v>22</v>
      </c>
      <c r="D8" s="7" t="s">
        <v>23</v>
      </c>
      <c r="E8" s="7" t="s">
        <v>20</v>
      </c>
      <c r="F8" s="7" t="s">
        <v>22</v>
      </c>
      <c r="G8" s="7" t="s">
        <v>0</v>
      </c>
      <c r="H8" s="7" t="s">
        <v>0</v>
      </c>
      <c r="I8" s="9" t="s">
        <v>21</v>
      </c>
    </row>
    <row r="9" customHeight="1" spans="1:9">
      <c r="A9" s="6">
        <f>ROW()-6</f>
        <v>0</v>
      </c>
      <c r="B9" s="7">
        <v>7</v>
      </c>
      <c r="C9" s="7" t="s">
        <v>24</v>
      </c>
      <c r="D9" s="7" t="s">
        <v>25</v>
      </c>
      <c r="E9" s="7" t="s">
        <v>20</v>
      </c>
      <c r="F9" s="7" t="s">
        <v>24</v>
      </c>
      <c r="G9" s="7" t="s">
        <v>0</v>
      </c>
      <c r="H9" s="7" t="s">
        <v>0</v>
      </c>
      <c r="I9" s="9" t="s">
        <v>21</v>
      </c>
    </row>
    <row r="10" customHeight="1" spans="1:9">
      <c r="A10" s="6">
        <f>ROW()-6</f>
        <v>0</v>
      </c>
      <c r="B10" s="7">
        <v>2</v>
      </c>
      <c r="C10" s="7" t="s">
        <v>26</v>
      </c>
      <c r="D10" s="7" t="s">
        <v>27</v>
      </c>
      <c r="E10" s="7" t="s">
        <v>20</v>
      </c>
      <c r="F10" s="7" t="s">
        <v>26</v>
      </c>
      <c r="G10" s="7" t="s">
        <v>0</v>
      </c>
      <c r="H10" s="7" t="s">
        <v>0</v>
      </c>
      <c r="I10" s="9" t="s">
        <v>28</v>
      </c>
    </row>
    <row r="11" customHeight="1" spans="1:9">
      <c r="A11" s="6">
        <f>ROW()-6</f>
        <v>0</v>
      </c>
      <c r="B11" s="7">
        <v>4</v>
      </c>
      <c r="C11" s="7" t="s">
        <v>29</v>
      </c>
      <c r="D11" s="7" t="s">
        <v>30</v>
      </c>
      <c r="E11" s="7" t="s">
        <v>31</v>
      </c>
      <c r="F11" s="7" t="s">
        <v>29</v>
      </c>
      <c r="G11" s="7"/>
      <c r="H11" s="7"/>
      <c r="I11" s="9" t="s">
        <v>28</v>
      </c>
    </row>
    <row r="12" customHeight="1" spans="1:9">
      <c r="A12" s="6">
        <f>ROW()-6</f>
        <v>0</v>
      </c>
      <c r="B12" s="7">
        <v>6</v>
      </c>
      <c r="C12" s="7" t="s">
        <v>32</v>
      </c>
      <c r="D12" s="7" t="s">
        <v>33</v>
      </c>
      <c r="E12" s="7" t="s">
        <v>20</v>
      </c>
      <c r="F12" s="7" t="s">
        <v>32</v>
      </c>
      <c r="G12" s="7" t="s">
        <v>0</v>
      </c>
      <c r="H12" s="7" t="s">
        <v>34</v>
      </c>
      <c r="I12" s="9" t="s">
        <v>35</v>
      </c>
    </row>
    <row r="13" customHeight="1" spans="1:9">
      <c r="A13" s="6">
        <f>ROW()-6</f>
        <v>0</v>
      </c>
      <c r="B13" s="7">
        <v>5</v>
      </c>
      <c r="C13" s="7" t="s">
        <v>36</v>
      </c>
      <c r="D13" s="7" t="s">
        <v>37</v>
      </c>
      <c r="E13" s="7" t="s">
        <v>20</v>
      </c>
      <c r="F13" s="7" t="s">
        <v>36</v>
      </c>
      <c r="G13" s="7" t="s">
        <v>0</v>
      </c>
      <c r="H13" s="7" t="s">
        <v>0</v>
      </c>
      <c r="I13" s="9" t="s">
        <v>28</v>
      </c>
    </row>
    <row r="14" customHeight="1" spans="1:9">
      <c r="A14" s="6">
        <f>ROW()-6</f>
        <v>0</v>
      </c>
      <c r="B14" s="7">
        <v>1</v>
      </c>
      <c r="C14" s="7" t="s">
        <v>38</v>
      </c>
      <c r="D14" s="7" t="s">
        <v>39</v>
      </c>
      <c r="E14" s="7" t="s">
        <v>20</v>
      </c>
      <c r="F14" s="7" t="s">
        <v>38</v>
      </c>
      <c r="G14" s="7" t="s">
        <v>0</v>
      </c>
      <c r="H14" s="7" t="s">
        <v>34</v>
      </c>
      <c r="I14" s="9" t="s">
        <v>35</v>
      </c>
    </row>
    <row r="15" customHeight="1" spans="1:9">
      <c r="A15" s="6">
        <f>ROW()-6</f>
        <v>0</v>
      </c>
      <c r="B15" s="7">
        <v>9</v>
      </c>
      <c r="C15" s="7" t="s">
        <v>40</v>
      </c>
      <c r="D15" s="7" t="s">
        <v>41</v>
      </c>
      <c r="E15" s="7" t="s">
        <v>20</v>
      </c>
      <c r="F15" s="7" t="s">
        <v>40</v>
      </c>
      <c r="G15" s="7" t="s">
        <v>0</v>
      </c>
      <c r="H15" s="7" t="s">
        <v>0</v>
      </c>
      <c r="I15" s="9" t="s">
        <v>28</v>
      </c>
    </row>
    <row r="16" customHeight="1" spans="1:9">
      <c r="A16" s="6">
        <f>ROW()-6</f>
        <v>0</v>
      </c>
      <c r="B16" s="7">
        <v>4</v>
      </c>
      <c r="C16" s="7" t="s">
        <v>42</v>
      </c>
      <c r="D16" s="7" t="s">
        <v>43</v>
      </c>
      <c r="E16" s="7" t="s">
        <v>20</v>
      </c>
      <c r="F16" s="7" t="s">
        <v>42</v>
      </c>
      <c r="G16" s="7" t="s">
        <v>0</v>
      </c>
      <c r="H16" s="7" t="s">
        <v>34</v>
      </c>
      <c r="I16" s="9" t="s">
        <v>35</v>
      </c>
    </row>
    <row r="17" customHeight="1" spans="1:9">
      <c r="A17" s="6">
        <f>ROW()-6</f>
        <v>0</v>
      </c>
      <c r="B17" s="7">
        <v>3</v>
      </c>
      <c r="C17" s="7" t="s">
        <v>44</v>
      </c>
      <c r="D17" s="7" t="s">
        <v>45</v>
      </c>
      <c r="E17" s="7" t="s">
        <v>20</v>
      </c>
      <c r="F17" s="7" t="s">
        <v>44</v>
      </c>
      <c r="G17" s="7" t="s">
        <v>0</v>
      </c>
      <c r="H17" s="7" t="s">
        <v>34</v>
      </c>
      <c r="I17" s="9" t="s">
        <v>35</v>
      </c>
    </row>
    <row r="18" customHeight="1" spans="1:9">
      <c r="A18" s="6">
        <f>ROW()-6</f>
        <v>0</v>
      </c>
      <c r="B18" s="7">
        <v>1</v>
      </c>
      <c r="C18" s="7" t="s">
        <v>46</v>
      </c>
      <c r="D18" s="7" t="s">
        <v>47</v>
      </c>
      <c r="E18" s="7" t="s">
        <v>20</v>
      </c>
      <c r="F18" s="7" t="s">
        <v>46</v>
      </c>
      <c r="G18" s="7" t="s">
        <v>0</v>
      </c>
      <c r="H18" s="7" t="s">
        <v>34</v>
      </c>
      <c r="I18" s="9" t="s">
        <v>35</v>
      </c>
    </row>
    <row r="19" customHeight="1" spans="1:9">
      <c r="A19" s="6">
        <f>ROW()-6</f>
        <v>0</v>
      </c>
      <c r="B19" s="7">
        <v>3</v>
      </c>
      <c r="C19" s="7" t="s">
        <v>48</v>
      </c>
      <c r="D19" s="7" t="s">
        <v>49</v>
      </c>
      <c r="E19" s="7" t="s">
        <v>20</v>
      </c>
      <c r="F19" s="7" t="s">
        <v>48</v>
      </c>
      <c r="G19" s="7" t="s">
        <v>0</v>
      </c>
      <c r="H19" s="7" t="s">
        <v>34</v>
      </c>
      <c r="I19" s="9" t="s">
        <v>35</v>
      </c>
    </row>
    <row r="20" customHeight="1" spans="1:9">
      <c r="A20" s="6">
        <f>ROW()-6</f>
        <v>0</v>
      </c>
      <c r="B20" s="7">
        <v>2</v>
      </c>
      <c r="C20" s="7" t="s">
        <v>50</v>
      </c>
      <c r="D20" s="7" t="s">
        <v>51</v>
      </c>
      <c r="E20" s="7" t="s">
        <v>20</v>
      </c>
      <c r="F20" s="7" t="s">
        <v>50</v>
      </c>
      <c r="G20" s="7" t="s">
        <v>0</v>
      </c>
      <c r="H20" s="7" t="s">
        <v>34</v>
      </c>
      <c r="I20" s="9" t="s">
        <v>35</v>
      </c>
    </row>
    <row r="21" customHeight="1" spans="1:9">
      <c r="A21" s="6">
        <f>ROW()-6</f>
        <v>0</v>
      </c>
      <c r="B21" s="7">
        <v>1</v>
      </c>
      <c r="C21" s="7" t="s">
        <v>52</v>
      </c>
      <c r="D21" s="7" t="s">
        <v>53</v>
      </c>
      <c r="E21" s="7" t="s">
        <v>20</v>
      </c>
      <c r="F21" s="7" t="s">
        <v>52</v>
      </c>
      <c r="G21" s="7" t="s">
        <v>0</v>
      </c>
      <c r="H21" s="7" t="s">
        <v>34</v>
      </c>
      <c r="I21" s="9" t="s">
        <v>35</v>
      </c>
    </row>
    <row r="22" customHeight="1" spans="1:9">
      <c r="A22" s="6">
        <f>ROW()-6</f>
        <v>0</v>
      </c>
      <c r="B22" s="7">
        <v>4</v>
      </c>
      <c r="C22" s="7" t="s">
        <v>54</v>
      </c>
      <c r="D22" s="7" t="s">
        <v>55</v>
      </c>
      <c r="E22" s="7" t="s">
        <v>20</v>
      </c>
      <c r="F22" s="7" t="s">
        <v>54</v>
      </c>
      <c r="G22" s="7" t="s">
        <v>0</v>
      </c>
      <c r="H22" s="7" t="s">
        <v>34</v>
      </c>
      <c r="I22" s="9" t="s">
        <v>35</v>
      </c>
    </row>
    <row r="23" customHeight="1" spans="1:9">
      <c r="A23" s="6">
        <f>ROW()-6</f>
        <v>0</v>
      </c>
      <c r="B23" s="7">
        <v>1</v>
      </c>
      <c r="C23" s="7" t="s">
        <v>56</v>
      </c>
      <c r="D23" s="7" t="s">
        <v>57</v>
      </c>
      <c r="E23" s="7" t="s">
        <v>20</v>
      </c>
      <c r="F23" s="7" t="s">
        <v>56</v>
      </c>
      <c r="G23" s="7" t="s">
        <v>0</v>
      </c>
      <c r="H23" s="7" t="s">
        <v>34</v>
      </c>
      <c r="I23" s="9" t="s">
        <v>35</v>
      </c>
    </row>
    <row r="24" customHeight="1" spans="1:9">
      <c r="A24" s="6">
        <f>ROW()-6</f>
        <v>0</v>
      </c>
      <c r="B24" s="7">
        <v>1</v>
      </c>
      <c r="C24" s="7" t="s">
        <v>58</v>
      </c>
      <c r="D24" s="7" t="s">
        <v>59</v>
      </c>
      <c r="E24" s="7" t="s">
        <v>20</v>
      </c>
      <c r="F24" s="7" t="s">
        <v>58</v>
      </c>
      <c r="G24" s="7" t="s">
        <v>0</v>
      </c>
      <c r="H24" s="7" t="s">
        <v>34</v>
      </c>
      <c r="I24" s="9" t="s">
        <v>35</v>
      </c>
    </row>
    <row r="25" customHeight="1" spans="1:9">
      <c r="A25" s="6">
        <f>ROW()-6</f>
        <v>0</v>
      </c>
      <c r="B25" s="7">
        <v>3</v>
      </c>
      <c r="C25" s="7" t="s">
        <v>60</v>
      </c>
      <c r="D25" s="7" t="s">
        <v>61</v>
      </c>
      <c r="E25" s="7" t="s">
        <v>62</v>
      </c>
      <c r="F25" s="7" t="s">
        <v>0</v>
      </c>
      <c r="G25" s="7"/>
      <c r="H25" s="7" t="s">
        <v>63</v>
      </c>
      <c r="I25" s="9"/>
    </row>
    <row r="26" customHeight="1" spans="1:9">
      <c r="A26" s="6">
        <f>ROW()-6</f>
        <v>0</v>
      </c>
      <c r="B26" s="7">
        <v>1</v>
      </c>
      <c r="C26" s="7" t="s">
        <v>64</v>
      </c>
      <c r="D26" s="7" t="s">
        <v>65</v>
      </c>
      <c r="E26" s="7" t="s">
        <v>66</v>
      </c>
      <c r="F26" s="7" t="s">
        <v>0</v>
      </c>
      <c r="G26" s="7"/>
      <c r="H26" s="7"/>
      <c r="I26" s="9"/>
    </row>
    <row r="27" customHeight="1" spans="1:9">
      <c r="A27" s="6">
        <f>ROW()-6</f>
        <v>0</v>
      </c>
      <c r="B27" s="7">
        <v>1</v>
      </c>
      <c r="C27" s="7" t="s">
        <v>67</v>
      </c>
      <c r="D27" s="7" t="s">
        <v>68</v>
      </c>
      <c r="E27" s="7" t="s">
        <v>69</v>
      </c>
      <c r="F27" s="7" t="s">
        <v>0</v>
      </c>
      <c r="G27" s="7"/>
      <c r="H27" s="7"/>
      <c r="I27" s="9"/>
    </row>
    <row r="28" customHeight="1" spans="1:9">
      <c r="A28" s="6">
        <f>ROW()-6</f>
        <v>0</v>
      </c>
      <c r="B28" s="7">
        <v>2</v>
      </c>
      <c r="C28" s="7" t="s">
        <v>70</v>
      </c>
      <c r="D28" s="7" t="s">
        <v>71</v>
      </c>
      <c r="E28" s="7" t="s">
        <v>72</v>
      </c>
      <c r="F28" s="7" t="s">
        <v>0</v>
      </c>
      <c r="G28" s="7"/>
      <c r="H28" s="7"/>
      <c r="I28" s="9"/>
    </row>
    <row r="29" customHeight="1" spans="1:9">
      <c r="A29" s="6">
        <f>ROW()-6</f>
        <v>0</v>
      </c>
      <c r="B29" s="7">
        <v>1</v>
      </c>
      <c r="C29" s="7" t="s">
        <v>73</v>
      </c>
      <c r="D29" s="7" t="s">
        <v>74</v>
      </c>
      <c r="E29" s="7" t="s">
        <v>75</v>
      </c>
      <c r="F29" s="7" t="s">
        <v>0</v>
      </c>
      <c r="G29" s="7"/>
      <c r="H29" s="7"/>
      <c r="I29" s="9" t="s">
        <v>76</v>
      </c>
    </row>
    <row r="30" customHeight="1" spans="1:9">
      <c r="A30" s="6">
        <f>ROW()-6</f>
        <v>0</v>
      </c>
      <c r="B30" s="7">
        <v>1</v>
      </c>
      <c r="C30" s="7" t="s">
        <v>77</v>
      </c>
      <c r="D30" s="7" t="s">
        <v>78</v>
      </c>
      <c r="E30" s="7" t="s">
        <v>79</v>
      </c>
      <c r="F30" s="7" t="s">
        <v>0</v>
      </c>
      <c r="G30" s="7"/>
      <c r="H30" s="7"/>
      <c r="I30" s="9" t="s">
        <v>80</v>
      </c>
    </row>
    <row r="31" customHeight="1" spans="1:9">
      <c r="A31" s="6">
        <f>ROW()-6</f>
        <v>0</v>
      </c>
      <c r="B31" s="7">
        <v>2</v>
      </c>
      <c r="C31" s="7" t="s">
        <v>81</v>
      </c>
      <c r="D31" s="7" t="s">
        <v>82</v>
      </c>
      <c r="E31" s="7" t="s">
        <v>83</v>
      </c>
      <c r="F31" s="7" t="s">
        <v>0</v>
      </c>
      <c r="G31" s="7"/>
      <c r="H31" s="7"/>
      <c r="I31" s="9" t="s">
        <v>0</v>
      </c>
    </row>
    <row r="32" customHeight="1" spans="1:9">
      <c r="A32" s="6">
        <f>ROW()-6</f>
        <v>0</v>
      </c>
      <c r="B32" s="7">
        <v>1</v>
      </c>
      <c r="C32" s="7" t="s">
        <v>84</v>
      </c>
      <c r="D32" s="7" t="s">
        <v>85</v>
      </c>
      <c r="E32" s="7" t="s">
        <v>84</v>
      </c>
      <c r="F32" s="7" t="s">
        <v>0</v>
      </c>
      <c r="G32" s="7"/>
      <c r="H32" s="7"/>
      <c r="I32" s="9" t="s">
        <v>0</v>
      </c>
    </row>
    <row r="33" customHeight="1" spans="1:9">
      <c r="A33" s="6">
        <f>ROW()-6</f>
        <v>0</v>
      </c>
      <c r="B33" s="7">
        <v>1</v>
      </c>
      <c r="C33" s="7" t="s">
        <v>86</v>
      </c>
      <c r="D33" s="7" t="s">
        <v>87</v>
      </c>
      <c r="E33" s="7" t="s">
        <v>86</v>
      </c>
      <c r="F33" s="7" t="s">
        <v>0</v>
      </c>
      <c r="G33" s="7"/>
      <c r="H33" s="7"/>
      <c r="I33" s="9" t="s">
        <v>0</v>
      </c>
    </row>
    <row r="34" customHeight="1" spans="1:9">
      <c r="A34" s="6">
        <f>ROW()-6</f>
        <v>0</v>
      </c>
      <c r="B34" s="7">
        <v>4</v>
      </c>
      <c r="C34" s="7" t="s">
        <v>88</v>
      </c>
      <c r="D34" s="7" t="s">
        <v>89</v>
      </c>
      <c r="E34" s="7" t="s">
        <v>90</v>
      </c>
      <c r="F34" s="7" t="s">
        <v>88</v>
      </c>
      <c r="G34" s="7"/>
      <c r="H34" s="7"/>
      <c r="I34" s="9" t="s">
        <v>91</v>
      </c>
    </row>
    <row r="35" customHeight="1" spans="1:9">
      <c r="A35" s="6">
        <f>ROW()-6</f>
        <v>0</v>
      </c>
      <c r="B35" s="7">
        <v>4</v>
      </c>
      <c r="C35" s="7" t="s">
        <v>92</v>
      </c>
      <c r="D35" s="7" t="s">
        <v>93</v>
      </c>
      <c r="E35" s="7" t="s">
        <v>90</v>
      </c>
      <c r="F35" s="7" t="s">
        <v>92</v>
      </c>
      <c r="G35" s="7"/>
      <c r="H35" s="7"/>
      <c r="I35" s="9" t="s">
        <v>91</v>
      </c>
    </row>
    <row r="36" customHeight="1" spans="1:9">
      <c r="A36" s="6">
        <f>ROW()-6</f>
        <v>0</v>
      </c>
      <c r="B36" s="7">
        <v>4</v>
      </c>
      <c r="C36" s="7" t="s">
        <v>94</v>
      </c>
      <c r="D36" s="7" t="s">
        <v>95</v>
      </c>
      <c r="E36" s="7" t="s">
        <v>90</v>
      </c>
      <c r="F36" s="7" t="s">
        <v>94</v>
      </c>
      <c r="G36" s="7"/>
      <c r="H36" s="7"/>
      <c r="I36" s="9" t="s">
        <v>91</v>
      </c>
    </row>
    <row r="37" customHeight="1" spans="1:9">
      <c r="A37" s="6">
        <f>ROW()-6</f>
        <v>0</v>
      </c>
      <c r="B37" s="7">
        <v>4</v>
      </c>
      <c r="C37" s="7" t="s">
        <v>96</v>
      </c>
      <c r="D37" s="7" t="s">
        <v>97</v>
      </c>
      <c r="E37" s="7" t="s">
        <v>90</v>
      </c>
      <c r="F37" s="7" t="s">
        <v>96</v>
      </c>
      <c r="G37" s="7"/>
      <c r="H37" s="7"/>
      <c r="I37" s="9" t="s">
        <v>91</v>
      </c>
    </row>
    <row r="38" customHeight="1" spans="1:9">
      <c r="A38" s="6">
        <f>ROW()-6</f>
        <v>0</v>
      </c>
      <c r="B38" s="7">
        <v>4</v>
      </c>
      <c r="C38" s="7" t="s">
        <v>98</v>
      </c>
      <c r="D38" s="7" t="s">
        <v>99</v>
      </c>
      <c r="E38" s="7" t="s">
        <v>100</v>
      </c>
      <c r="F38" s="7" t="s">
        <v>0</v>
      </c>
      <c r="G38" s="7"/>
      <c r="H38" s="7"/>
      <c r="I38" s="9" t="s">
        <v>101</v>
      </c>
    </row>
    <row r="39" customHeight="1" spans="1:9">
      <c r="A39" s="6">
        <f>ROW()-6</f>
        <v>0</v>
      </c>
      <c r="B39" s="7">
        <v>4</v>
      </c>
      <c r="C39" s="7" t="s">
        <v>102</v>
      </c>
      <c r="D39" s="7" t="s">
        <v>103</v>
      </c>
      <c r="E39" s="7" t="s">
        <v>104</v>
      </c>
      <c r="F39" s="7" t="s">
        <v>102</v>
      </c>
      <c r="G39" s="7"/>
      <c r="H39" s="7"/>
      <c r="I39" s="9" t="s">
        <v>91</v>
      </c>
    </row>
    <row r="40" customHeight="1" spans="1:9">
      <c r="A40" s="6">
        <f>ROW()-6</f>
        <v>0</v>
      </c>
      <c r="B40" s="7">
        <v>1</v>
      </c>
      <c r="C40" s="7" t="s">
        <v>102</v>
      </c>
      <c r="D40" s="7" t="s">
        <v>105</v>
      </c>
      <c r="E40" s="7" t="s">
        <v>106</v>
      </c>
      <c r="F40" s="7" t="s">
        <v>102</v>
      </c>
      <c r="G40" s="7"/>
      <c r="H40" s="7"/>
      <c r="I40" s="9" t="s">
        <v>91</v>
      </c>
    </row>
    <row r="41" customHeight="1" spans="1:9">
      <c r="A41" s="6">
        <f>ROW()-6</f>
        <v>0</v>
      </c>
      <c r="B41" s="7">
        <v>1</v>
      </c>
      <c r="C41" s="7" t="s">
        <v>107</v>
      </c>
      <c r="D41" s="7" t="s">
        <v>108</v>
      </c>
      <c r="E41" s="7" t="s">
        <v>109</v>
      </c>
      <c r="F41" s="7" t="s">
        <v>0</v>
      </c>
      <c r="G41" s="7"/>
      <c r="H41" s="7"/>
      <c r="I41" s="9"/>
    </row>
    <row r="42" customHeight="1" spans="1:9">
      <c r="A42" s="6">
        <f>ROW()-6</f>
        <v>0</v>
      </c>
      <c r="B42" s="7">
        <v>16</v>
      </c>
      <c r="C42" s="7" t="s">
        <v>110</v>
      </c>
      <c r="D42" s="7" t="s">
        <v>111</v>
      </c>
      <c r="E42" s="7" t="s">
        <v>112</v>
      </c>
      <c r="F42" s="7" t="s">
        <v>110</v>
      </c>
      <c r="G42" s="7" t="s">
        <v>0</v>
      </c>
      <c r="H42" s="7" t="s">
        <v>0</v>
      </c>
      <c r="I42" s="9" t="s">
        <v>113</v>
      </c>
    </row>
    <row r="43" customHeight="1" spans="1:9">
      <c r="A43" s="6">
        <f>ROW()-6</f>
        <v>0</v>
      </c>
      <c r="B43" s="7">
        <v>6</v>
      </c>
      <c r="C43" s="7" t="s">
        <v>114</v>
      </c>
      <c r="D43" s="7" t="s">
        <v>115</v>
      </c>
      <c r="E43" s="7" t="s">
        <v>112</v>
      </c>
      <c r="F43" s="7" t="s">
        <v>114</v>
      </c>
      <c r="G43" s="7" t="s">
        <v>0</v>
      </c>
      <c r="H43" s="7" t="s">
        <v>0</v>
      </c>
      <c r="I43" s="9" t="s">
        <v>113</v>
      </c>
    </row>
    <row r="44" customHeight="1" spans="1:9">
      <c r="A44" s="6">
        <f>ROW()-6</f>
        <v>0</v>
      </c>
      <c r="B44" s="7">
        <v>10</v>
      </c>
      <c r="C44" s="7" t="s">
        <v>116</v>
      </c>
      <c r="D44" s="7" t="s">
        <v>117</v>
      </c>
      <c r="E44" s="7" t="s">
        <v>112</v>
      </c>
      <c r="F44" s="7" t="s">
        <v>116</v>
      </c>
      <c r="G44" s="7" t="s">
        <v>0</v>
      </c>
      <c r="H44" s="7" t="s">
        <v>0</v>
      </c>
      <c r="I44" s="9" t="s">
        <v>113</v>
      </c>
    </row>
    <row r="45" customHeight="1" spans="1:9">
      <c r="A45" s="6">
        <f>ROW()-6</f>
        <v>0</v>
      </c>
      <c r="B45" s="7">
        <v>2</v>
      </c>
      <c r="C45" s="7" t="s">
        <v>118</v>
      </c>
      <c r="D45" s="7" t="s">
        <v>119</v>
      </c>
      <c r="E45" s="7" t="s">
        <v>120</v>
      </c>
      <c r="F45" s="7" t="s">
        <v>118</v>
      </c>
      <c r="G45" s="7" t="s">
        <v>0</v>
      </c>
      <c r="H45" s="7" t="s">
        <v>0</v>
      </c>
      <c r="I45" s="10">
        <v>0.01</v>
      </c>
    </row>
    <row r="46" customHeight="1" spans="1:9">
      <c r="A46" s="6">
        <f>ROW()-6</f>
        <v>0</v>
      </c>
      <c r="B46" s="7">
        <v>5</v>
      </c>
      <c r="C46" s="7" t="s">
        <v>121</v>
      </c>
      <c r="D46" s="7" t="s">
        <v>122</v>
      </c>
      <c r="E46" s="7" t="s">
        <v>112</v>
      </c>
      <c r="F46" s="7" t="s">
        <v>121</v>
      </c>
      <c r="G46" s="7" t="s">
        <v>0</v>
      </c>
      <c r="H46" s="7" t="s">
        <v>0</v>
      </c>
      <c r="I46" s="9" t="s">
        <v>113</v>
      </c>
    </row>
    <row r="47" customHeight="1" spans="1:9">
      <c r="A47" s="6">
        <f>ROW()-6</f>
        <v>0</v>
      </c>
      <c r="B47" s="7">
        <v>2</v>
      </c>
      <c r="C47" s="7" t="s">
        <v>123</v>
      </c>
      <c r="D47" s="7" t="s">
        <v>124</v>
      </c>
      <c r="E47" s="7" t="s">
        <v>112</v>
      </c>
      <c r="F47" s="7" t="s">
        <v>123</v>
      </c>
      <c r="G47" s="7" t="s">
        <v>0</v>
      </c>
      <c r="H47" s="7" t="s">
        <v>0</v>
      </c>
      <c r="I47" s="9" t="s">
        <v>113</v>
      </c>
    </row>
    <row r="48" customHeight="1" spans="1:9">
      <c r="A48" s="6">
        <f>ROW()-6</f>
        <v>0</v>
      </c>
      <c r="B48" s="7">
        <v>5</v>
      </c>
      <c r="C48" s="7" t="s">
        <v>125</v>
      </c>
      <c r="D48" s="7" t="s">
        <v>126</v>
      </c>
      <c r="E48" s="7" t="s">
        <v>112</v>
      </c>
      <c r="F48" s="7" t="s">
        <v>125</v>
      </c>
      <c r="G48" s="7" t="s">
        <v>0</v>
      </c>
      <c r="H48" s="7" t="s">
        <v>0</v>
      </c>
      <c r="I48" s="10">
        <v>0.01</v>
      </c>
    </row>
    <row r="49" customHeight="1" spans="1:9">
      <c r="A49" s="6">
        <f>ROW()-6</f>
        <v>0</v>
      </c>
      <c r="B49" s="7">
        <v>3</v>
      </c>
      <c r="C49" s="7" t="s">
        <v>127</v>
      </c>
      <c r="D49" s="7" t="s">
        <v>128</v>
      </c>
      <c r="E49" s="7" t="s">
        <v>112</v>
      </c>
      <c r="F49" s="7" t="s">
        <v>127</v>
      </c>
      <c r="G49" s="7" t="s">
        <v>0</v>
      </c>
      <c r="H49" s="7" t="s">
        <v>0</v>
      </c>
      <c r="I49" s="10">
        <v>0.01</v>
      </c>
    </row>
    <row r="50" customHeight="1" spans="1:9">
      <c r="A50" s="6">
        <f>ROW()-6</f>
        <v>0</v>
      </c>
      <c r="B50" s="7">
        <v>1</v>
      </c>
      <c r="C50" s="7" t="s">
        <v>129</v>
      </c>
      <c r="D50" s="7" t="s">
        <v>130</v>
      </c>
      <c r="E50" s="7" t="s">
        <v>112</v>
      </c>
      <c r="F50" s="7" t="s">
        <v>129</v>
      </c>
      <c r="G50" s="7" t="s">
        <v>0</v>
      </c>
      <c r="H50" s="7" t="s">
        <v>0</v>
      </c>
      <c r="I50" s="10">
        <v>0.01</v>
      </c>
    </row>
    <row r="51" customHeight="1" spans="1:9">
      <c r="A51" s="6">
        <f>ROW()-6</f>
        <v>0</v>
      </c>
      <c r="B51" s="7">
        <v>1</v>
      </c>
      <c r="C51" s="7" t="s">
        <v>131</v>
      </c>
      <c r="D51" s="7" t="s">
        <v>132</v>
      </c>
      <c r="E51" s="7" t="s">
        <v>112</v>
      </c>
      <c r="F51" s="7" t="s">
        <v>131</v>
      </c>
      <c r="G51" s="7" t="s">
        <v>0</v>
      </c>
      <c r="H51" s="7" t="s">
        <v>0</v>
      </c>
      <c r="I51" s="10">
        <v>0.01</v>
      </c>
    </row>
    <row r="52" customHeight="1" spans="1:9">
      <c r="A52" s="6">
        <f>ROW()-6</f>
        <v>0</v>
      </c>
      <c r="B52" s="7">
        <v>1</v>
      </c>
      <c r="C52" s="7" t="s">
        <v>133</v>
      </c>
      <c r="D52" s="7" t="s">
        <v>134</v>
      </c>
      <c r="E52" s="7" t="s">
        <v>120</v>
      </c>
      <c r="F52" s="7" t="s">
        <v>133</v>
      </c>
      <c r="G52" s="7" t="s">
        <v>0</v>
      </c>
      <c r="H52" s="7" t="s">
        <v>0</v>
      </c>
      <c r="I52" s="10">
        <v>0.01</v>
      </c>
    </row>
    <row r="53" customHeight="1" spans="1:9">
      <c r="A53" s="6">
        <f>ROW()-6</f>
        <v>0</v>
      </c>
      <c r="B53" s="7">
        <v>1</v>
      </c>
      <c r="C53" s="7" t="s">
        <v>135</v>
      </c>
      <c r="D53" s="7" t="s">
        <v>136</v>
      </c>
      <c r="E53" s="7" t="s">
        <v>112</v>
      </c>
      <c r="F53" s="7" t="s">
        <v>135</v>
      </c>
      <c r="G53" s="7" t="s">
        <v>0</v>
      </c>
      <c r="H53" s="7" t="s">
        <v>0</v>
      </c>
      <c r="I53" s="10">
        <v>0.01</v>
      </c>
    </row>
    <row r="54" customHeight="1" spans="1:9">
      <c r="A54" s="6">
        <f>ROW()-6</f>
        <v>0</v>
      </c>
      <c r="B54" s="7">
        <v>2</v>
      </c>
      <c r="C54" s="7" t="s">
        <v>137</v>
      </c>
      <c r="D54" s="7" t="s">
        <v>138</v>
      </c>
      <c r="E54" s="7" t="s">
        <v>139</v>
      </c>
      <c r="F54" s="7" t="s">
        <v>137</v>
      </c>
      <c r="G54" s="7" t="s">
        <v>140</v>
      </c>
      <c r="H54" s="7" t="s">
        <v>141</v>
      </c>
      <c r="I54" s="9"/>
    </row>
    <row r="55" customHeight="1" spans="1:9">
      <c r="A55" s="6">
        <f>ROW()-6</f>
        <v>0</v>
      </c>
      <c r="B55" s="7">
        <v>1</v>
      </c>
      <c r="C55" s="7" t="s">
        <v>142</v>
      </c>
      <c r="D55" s="7" t="s">
        <v>143</v>
      </c>
      <c r="E55" s="7" t="s">
        <v>144</v>
      </c>
      <c r="F55" s="7" t="s">
        <v>0</v>
      </c>
      <c r="G55" s="7" t="s">
        <v>142</v>
      </c>
      <c r="H55" s="7" t="s">
        <v>145</v>
      </c>
      <c r="I55" s="9"/>
    </row>
    <row r="56" customHeight="1" spans="1:9">
      <c r="A56" s="6">
        <f>ROW()-6</f>
        <v>0</v>
      </c>
      <c r="B56" s="7">
        <v>1</v>
      </c>
      <c r="C56" s="7" t="s">
        <v>146</v>
      </c>
      <c r="D56" s="7" t="s">
        <v>147</v>
      </c>
      <c r="E56" s="7" t="s">
        <v>148</v>
      </c>
      <c r="F56" s="7" t="s">
        <v>0</v>
      </c>
      <c r="G56" s="7"/>
      <c r="H56" s="7"/>
      <c r="I56" s="9" t="s">
        <v>149</v>
      </c>
    </row>
    <row r="57" customHeight="1" spans="1:9">
      <c r="A57" s="6">
        <f>ROW()-6</f>
        <v>0</v>
      </c>
      <c r="B57" s="7">
        <v>1</v>
      </c>
      <c r="C57" s="7" t="s">
        <v>150</v>
      </c>
      <c r="D57" s="7" t="s">
        <v>151</v>
      </c>
      <c r="E57" s="7" t="s">
        <v>152</v>
      </c>
      <c r="F57" s="7" t="s">
        <v>0</v>
      </c>
      <c r="G57" s="7" t="s">
        <v>150</v>
      </c>
      <c r="H57" s="7" t="s">
        <v>153</v>
      </c>
      <c r="I57" s="9"/>
    </row>
    <row r="58" customHeight="1" spans="1:9">
      <c r="A58" s="6">
        <f>ROW()-6</f>
        <v>0</v>
      </c>
      <c r="B58" s="7">
        <v>1</v>
      </c>
      <c r="C58" s="7" t="s">
        <v>154</v>
      </c>
      <c r="D58" s="7" t="s">
        <v>155</v>
      </c>
      <c r="E58" s="7" t="s">
        <v>156</v>
      </c>
      <c r="F58" s="7" t="s">
        <v>0</v>
      </c>
      <c r="G58" s="7" t="s">
        <v>154</v>
      </c>
      <c r="H58" s="7" t="s">
        <v>153</v>
      </c>
      <c r="I58" s="9"/>
    </row>
    <row r="59" customHeight="1" spans="1:9">
      <c r="A59" s="6">
        <f>ROW()-6</f>
        <v>0</v>
      </c>
      <c r="B59" s="7">
        <v>1</v>
      </c>
      <c r="C59" s="7" t="s">
        <v>157</v>
      </c>
      <c r="D59" s="7" t="s">
        <v>158</v>
      </c>
      <c r="E59" s="7" t="s">
        <v>159</v>
      </c>
      <c r="F59" s="7" t="s">
        <v>0</v>
      </c>
      <c r="G59" s="7" t="s">
        <v>157</v>
      </c>
      <c r="H59" s="7" t="s">
        <v>153</v>
      </c>
      <c r="I59" s="9"/>
    </row>
    <row r="60" customHeight="1" spans="1:9">
      <c r="A60" s="6">
        <f>ROW()-6</f>
        <v>0</v>
      </c>
      <c r="B60" s="7">
        <v>3</v>
      </c>
      <c r="C60" s="7" t="s">
        <v>160</v>
      </c>
      <c r="D60" s="7" t="s">
        <v>161</v>
      </c>
      <c r="E60" s="7" t="s">
        <v>162</v>
      </c>
      <c r="F60" s="7" t="s">
        <v>0</v>
      </c>
      <c r="G60" s="7" t="s">
        <v>160</v>
      </c>
      <c r="H60" s="7" t="s">
        <v>163</v>
      </c>
      <c r="I60" s="9"/>
    </row>
    <row r="61" customHeight="1" spans="1:9">
      <c r="A61" s="6">
        <f>ROW()-6</f>
        <v>0</v>
      </c>
      <c r="B61" s="7">
        <v>1</v>
      </c>
      <c r="C61" s="7" t="s">
        <v>164</v>
      </c>
      <c r="D61" s="7" t="s">
        <v>165</v>
      </c>
      <c r="E61" s="7" t="s">
        <v>166</v>
      </c>
      <c r="F61" s="7" t="s">
        <v>0</v>
      </c>
      <c r="G61" s="7" t="s">
        <v>164</v>
      </c>
      <c r="H61" s="7" t="s">
        <v>167</v>
      </c>
      <c r="I61" s="9"/>
    </row>
    <row r="62" customHeight="1" spans="1:9">
      <c r="A62" s="6">
        <f>ROW()-6</f>
        <v>0</v>
      </c>
      <c r="B62" s="7">
        <v>2</v>
      </c>
      <c r="C62" s="7" t="s">
        <v>168</v>
      </c>
      <c r="D62" s="7" t="s">
        <v>169</v>
      </c>
      <c r="E62" s="7" t="s">
        <v>170</v>
      </c>
      <c r="F62" s="7" t="s">
        <v>0</v>
      </c>
      <c r="G62" s="7" t="s">
        <v>168</v>
      </c>
      <c r="H62" s="7" t="s">
        <v>153</v>
      </c>
      <c r="I62" s="9"/>
    </row>
    <row r="63" customHeight="1" spans="1:9">
      <c r="A63" s="6">
        <f>ROW()-6</f>
        <v>0</v>
      </c>
      <c r="B63" s="7">
        <v>1</v>
      </c>
      <c r="C63" s="7" t="s">
        <v>171</v>
      </c>
      <c r="D63" s="7" t="s">
        <v>172</v>
      </c>
      <c r="E63" s="7" t="s">
        <v>173</v>
      </c>
      <c r="F63" s="7" t="s">
        <v>0</v>
      </c>
      <c r="G63" s="7" t="s">
        <v>171</v>
      </c>
      <c r="H63" s="7" t="s">
        <v>174</v>
      </c>
      <c r="I63" s="9"/>
    </row>
    <row r="64" customHeight="1" spans="1:9">
      <c r="A64" s="6">
        <f>ROW()-6</f>
        <v>0</v>
      </c>
      <c r="B64" s="7">
        <v>1</v>
      </c>
      <c r="C64" s="7" t="s">
        <v>175</v>
      </c>
      <c r="D64" s="7" t="s">
        <v>176</v>
      </c>
      <c r="E64" s="7" t="s">
        <v>177</v>
      </c>
      <c r="F64" s="7" t="s">
        <v>0</v>
      </c>
      <c r="G64" s="7" t="s">
        <v>175</v>
      </c>
      <c r="H64" s="7" t="s">
        <v>178</v>
      </c>
      <c r="I64" s="9"/>
    </row>
    <row r="65" customHeight="1" spans="1:9">
      <c r="A65" s="6">
        <f>ROW()-6</f>
        <v>0</v>
      </c>
      <c r="B65" s="7">
        <v>1</v>
      </c>
      <c r="C65" s="7" t="s">
        <v>179</v>
      </c>
      <c r="D65" s="7" t="s">
        <v>180</v>
      </c>
      <c r="E65" s="7" t="s">
        <v>181</v>
      </c>
      <c r="F65" s="7" t="s">
        <v>0</v>
      </c>
      <c r="G65" s="7" t="s">
        <v>179</v>
      </c>
      <c r="H65" s="7" t="s">
        <v>182</v>
      </c>
      <c r="I65" s="9"/>
    </row>
    <row r="66" customHeight="1" spans="1:9">
      <c r="A66" s="6">
        <f>ROW()-6</f>
        <v>0</v>
      </c>
      <c r="B66" s="7">
        <v>1</v>
      </c>
      <c r="C66" s="7" t="s">
        <v>183</v>
      </c>
      <c r="D66" s="7" t="s">
        <v>184</v>
      </c>
      <c r="E66" s="7" t="s">
        <v>185</v>
      </c>
      <c r="F66" s="7" t="s">
        <v>183</v>
      </c>
      <c r="G66" s="7"/>
      <c r="H66" s="7"/>
      <c r="I66" s="9"/>
    </row>
    <row r="67" customHeight="1" spans="1:9">
      <c r="A67" s="6">
        <f>ROW()-6</f>
        <v>0</v>
      </c>
      <c r="B67" s="7">
        <v>1</v>
      </c>
      <c r="C67" s="7" t="s">
        <v>186</v>
      </c>
      <c r="D67" s="7" t="s">
        <v>187</v>
      </c>
      <c r="E67" s="7" t="s">
        <v>170</v>
      </c>
      <c r="F67" s="7" t="s">
        <v>0</v>
      </c>
      <c r="G67" s="7" t="s">
        <v>186</v>
      </c>
      <c r="H67" s="7" t="s">
        <v>153</v>
      </c>
      <c r="I67" s="9"/>
    </row>
    <row r="68" customHeight="1" spans="1:9">
      <c r="A68" s="6">
        <f>ROW()-6</f>
        <v>0</v>
      </c>
      <c r="B68" s="7">
        <v>1</v>
      </c>
      <c r="C68" s="7" t="s">
        <v>188</v>
      </c>
      <c r="D68" s="7" t="s">
        <v>189</v>
      </c>
      <c r="E68" s="7" t="s">
        <v>170</v>
      </c>
      <c r="F68" s="7" t="s">
        <v>0</v>
      </c>
      <c r="G68" s="7" t="s">
        <v>188</v>
      </c>
      <c r="H68" s="7" t="s">
        <v>190</v>
      </c>
      <c r="I68" s="9"/>
    </row>
    <row r="69" customHeight="1" spans="1:9">
      <c r="A69" s="6">
        <f>ROW()-6</f>
        <v>0</v>
      </c>
      <c r="B69" s="7">
        <v>1</v>
      </c>
      <c r="C69" s="7" t="s">
        <v>191</v>
      </c>
      <c r="D69" s="7" t="s">
        <v>192</v>
      </c>
      <c r="E69" s="7" t="s">
        <v>193</v>
      </c>
      <c r="F69" s="7" t="s">
        <v>0</v>
      </c>
      <c r="G69" s="7" t="s">
        <v>191</v>
      </c>
      <c r="H69" s="7" t="s">
        <v>194</v>
      </c>
      <c r="I69" s="9"/>
    </row>
    <row r="70" customHeight="1" spans="1:9">
      <c r="A70" s="6">
        <f>ROW()-6</f>
        <v>0</v>
      </c>
      <c r="B70" s="7">
        <v>1</v>
      </c>
      <c r="C70" s="7" t="s">
        <v>195</v>
      </c>
      <c r="D70" s="7" t="s">
        <v>196</v>
      </c>
      <c r="E70" s="7" t="s">
        <v>197</v>
      </c>
      <c r="F70" s="7" t="s">
        <v>0</v>
      </c>
      <c r="G70" s="7"/>
      <c r="H70" s="7"/>
      <c r="I70" s="9"/>
    </row>
    <row r="71" customHeight="1" spans="1:9">
      <c r="A71" s="6">
        <f>ROW()-6</f>
        <v>0</v>
      </c>
      <c r="B71" s="7">
        <v>1</v>
      </c>
      <c r="C71" s="7" t="s">
        <v>198</v>
      </c>
      <c r="D71" s="7" t="s">
        <v>199</v>
      </c>
      <c r="E71" s="7" t="s">
        <v>200</v>
      </c>
      <c r="F71" s="7" t="s">
        <v>0</v>
      </c>
      <c r="G71" s="7"/>
      <c r="H71" s="7"/>
      <c r="I71" s="11"/>
    </row>
  </sheetData>
  <mergeCells count="3">
    <mergeCell ref="E1:E2"/>
    <mergeCell ref="F1:F2"/>
    <mergeCell ref="A1:D5"/>
  </mergeCells>
  <pageMargins left="0.699305555555556" right="0.699305555555556" top="0.75" bottom="0.75" header="0.3" footer="0.3"/>
  <pageSetup paperSize="9" orientation="portrait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85714285714" customWidth="1"/>
    <col min="2" max="2" width="57.5047619047619" customWidth="1"/>
  </cols>
  <sheetData>
    <row r="1" customHeight="1" spans="1:2">
      <c r="A1" s="1" t="s">
        <v>201</v>
      </c>
      <c r="B1" s="1" t="s">
        <v>4</v>
      </c>
    </row>
    <row r="2" customHeight="1" spans="1:2">
      <c r="A2" s="1" t="s">
        <v>202</v>
      </c>
      <c r="B2" s="1" t="s">
        <v>203</v>
      </c>
    </row>
    <row r="3" customHeight="1" spans="1:2">
      <c r="A3" s="1" t="s">
        <v>204</v>
      </c>
      <c r="B3" s="1" t="s">
        <v>205</v>
      </c>
    </row>
    <row r="4" customHeight="1" spans="1:2">
      <c r="A4" s="1" t="s">
        <v>206</v>
      </c>
      <c r="B4" s="1" t="s">
        <v>207</v>
      </c>
    </row>
    <row r="5" customHeight="1" spans="1:2">
      <c r="A5" s="1" t="s">
        <v>208</v>
      </c>
      <c r="B5" s="1" t="s">
        <v>6</v>
      </c>
    </row>
    <row r="6" customHeight="1" spans="1:2">
      <c r="A6" s="1" t="s">
        <v>209</v>
      </c>
      <c r="B6" s="1">
        <v>231</v>
      </c>
    </row>
    <row r="7" customHeight="1" spans="1:2">
      <c r="A7" s="1" t="s">
        <v>210</v>
      </c>
      <c r="B7" s="1" t="s">
        <v>211</v>
      </c>
    </row>
    <row r="8" customHeight="1" spans="1:2">
      <c r="A8" s="1" t="s">
        <v>212</v>
      </c>
      <c r="B8" s="1" t="s">
        <v>213</v>
      </c>
    </row>
    <row r="9" customHeight="1" spans="1:2">
      <c r="A9" s="1" t="s">
        <v>214</v>
      </c>
      <c r="B9" s="1" t="s">
        <v>8</v>
      </c>
    </row>
    <row r="10" customHeight="1" spans="1:2">
      <c r="A10" s="1" t="s">
        <v>215</v>
      </c>
      <c r="B10" s="1" t="s">
        <v>2</v>
      </c>
    </row>
    <row r="11" customHeight="1" spans="1:2">
      <c r="A11" s="1" t="s">
        <v>216</v>
      </c>
      <c r="B11" s="1" t="s">
        <v>217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1722566156976</cp:lastModifiedBy>
  <dcterms:created xsi:type="dcterms:W3CDTF">2026-09-25T16:45:05Z</dcterms:created>
  <dcterms:modified xsi:type="dcterms:W3CDTF">2026-09-25T16:53:15Z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2052-9.1.0.4489</vt:lpwstr>
  </property>
</Properties>
</file>